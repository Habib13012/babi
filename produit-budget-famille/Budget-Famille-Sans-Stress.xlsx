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Dépenses" sheetId="3" state="visible" r:id="rId5"/>
    <sheet name="Tableau de bord" sheetId="4" state="visible" r:id="rId6"/>
    <sheet name="Défi 30 jours" sheetId="5" state="visible" r:id="rId7"/>
  </sheets>
  <definedNames>
    <definedName function="false" hidden="false" localSheetId="4" name="_xlnm.Print_Area" vbProcedure="false">'Défi 30 jours'!$A$1:$F$60</definedName>
    <definedName function="false" hidden="false" localSheetId="2" name="_xlnm.Print_Area" vbProcedure="false">Dépenses!$A$1:$G$310</definedName>
    <definedName function="false" hidden="false" localSheetId="0" name="_xlnm.Print_Area" vbProcedure="false">'Mode d''emploi'!$A$1:$D$60</definedName>
    <definedName function="false" hidden="false" localSheetId="1" name="_xlnm.Print_Area" vbProcedure="false">Paramètres!$A$1:$E$60</definedName>
    <definedName function="false" hidden="false" localSheetId="3" name="_xlnm.Print_Area" vbProcedure="false">'Tableau de bord'!$A$1:$H$60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<sst xmlns="http://schemas.openxmlformats.org/spreadsheetml/2006/main" count="146" uniqueCount="115">
  <si>
    <t xml:space="preserve">BUDGET FAMILIAL AUTOMATIQUE</t>
  </si>
  <si>
    <t xml:space="preserve">Budget Famille Sans Stress</t>
  </si>
  <si>
    <t xml:space="preserve">Le tableau de budget automatique pensé pour les parents. Vous notez, il calcule tout.</t>
  </si>
  <si>
    <t xml:space="preserve">Comment ça marche</t>
  </si>
  <si>
    <t xml:space="preserve">Onglet « Paramètres » : indiquez le mois, vos revenus et le budget prévu pour chaque catégorie.</t>
  </si>
  <si>
    <t xml:space="preserve">Onglet « Dépenses » : notez chaque dépense : date, description, catégorie dans la liste, montant.</t>
  </si>
  <si>
    <t xml:space="preserve">Onglet « Tableau de bord » : tout se calcule tout seul : dépensé, reste, alertes orange et rouge, reste à vivre.</t>
  </si>
  <si>
    <t xml:space="preserve">Onglet « Défi 30 jours » : choisissez « Oui » chaque jour réussi et notez ce que vous avez économisé.</t>
  </si>
  <si>
    <t xml:space="preserve">Légende</t>
  </si>
  <si>
    <t xml:space="preserve">Case jaune : à remplir par vous</t>
  </si>
  <si>
    <t xml:space="preserve">Case blanche : calculée automatiquement, ne pas effacer</t>
  </si>
  <si>
    <t xml:space="preserve">Orange : 80 % du budget atteint</t>
  </si>
  <si>
    <t xml:space="preserve">Rouge : budget dépassé</t>
  </si>
  <si>
    <t xml:space="preserve">Bon à savoir</t>
  </si>
  <si>
    <t xml:space="preserve">•</t>
  </si>
  <si>
    <t xml:space="preserve">Les lignes en gris italique dans « Dépenses » sont des exemples : supprimez-les avant de commencer.</t>
  </si>
  <si>
    <t xml:space="preserve">Nouveau mois : Fichier &gt; Faire une copie (Google Sheets) ou Enregistrer sous (Excel), puis videz l'onglet « Dépenses ».</t>
  </si>
  <si>
    <t xml:space="preserve">Google Sheets (gratuit) : sheets.google.com &gt; Fichier &gt; Importer &gt; choisissez ce fichier.</t>
  </si>
  <si>
    <t xml:space="preserve">Sur téléphone, les couleurs s'affichent le mieux avec le thème clair.</t>
  </si>
  <si>
    <t xml:space="preserve">Paramètres du mois</t>
  </si>
  <si>
    <t xml:space="preserve">Remplissez les cases jaunes une fois par mois.</t>
  </si>
  <si>
    <t xml:space="preserve">Mois</t>
  </si>
  <si>
    <t xml:space="preserve">Objectif d'épargne du mois</t>
  </si>
  <si>
    <t xml:space="preserve">Revenus</t>
  </si>
  <si>
    <t xml:space="preserve">Montant</t>
  </si>
  <si>
    <t xml:space="preserve">Salaire parent 1</t>
  </si>
  <si>
    <t xml:space="preserve">Salaire parent 2</t>
  </si>
  <si>
    <t xml:space="preserve">Allocations familiales / CAF</t>
  </si>
  <si>
    <t xml:space="preserve">Autres revenus</t>
  </si>
  <si>
    <t xml:space="preserve">Total revenus</t>
  </si>
  <si>
    <t xml:space="preserve">Catégorie de dépense</t>
  </si>
  <si>
    <t xml:space="preserve">Budget prévu</t>
  </si>
  <si>
    <t xml:space="preserve">Type</t>
  </si>
  <si>
    <t xml:space="preserve">Loyer / crédit immobilier</t>
  </si>
  <si>
    <t xml:space="preserve">Fixe</t>
  </si>
  <si>
    <t xml:space="preserve">Électricité, gaz, eau</t>
  </si>
  <si>
    <t xml:space="preserve">Internet et téléphones</t>
  </si>
  <si>
    <t xml:space="preserve">Assurances</t>
  </si>
  <si>
    <t xml:space="preserve">Crèche / nounou / garde</t>
  </si>
  <si>
    <t xml:space="preserve">Cantine et périscolaire</t>
  </si>
  <si>
    <t xml:space="preserve">Courses alimentaires</t>
  </si>
  <si>
    <t xml:space="preserve">Variable</t>
  </si>
  <si>
    <t xml:space="preserve">Couches, hygiène, puériculture</t>
  </si>
  <si>
    <t xml:space="preserve">Vêtements enfants</t>
  </si>
  <si>
    <t xml:space="preserve">Activités et loisirs enfants</t>
  </si>
  <si>
    <t xml:space="preserve">Santé / pharmacie</t>
  </si>
  <si>
    <t xml:space="preserve">Transport / carburant</t>
  </si>
  <si>
    <t xml:space="preserve">Sorties et loisirs adultes</t>
  </si>
  <si>
    <t xml:space="preserve">Cadeaux et anniversaires</t>
  </si>
  <si>
    <t xml:space="preserve">Abonnements (streaming, etc.)</t>
  </si>
  <si>
    <t xml:space="preserve">Imprévus</t>
  </si>
  <si>
    <t xml:space="preserve">Total budget prévu</t>
  </si>
  <si>
    <t xml:space="preserve">Montants d'exemple : remplacez-les par les vôtres. 4 lignes vides pour vos propres catégories.</t>
  </si>
  <si>
    <t xml:space="preserve">Journal des dépenses</t>
  </si>
  <si>
    <t xml:space="preserve">Une ligne par dépense. La catégorie se choisit dans la liste déroulante.</t>
  </si>
  <si>
    <t xml:space="preserve">Date</t>
  </si>
  <si>
    <t xml:space="preserve">Description</t>
  </si>
  <si>
    <t xml:space="preserve">Catégorie</t>
  </si>
  <si>
    <t xml:space="preserve">Payé par</t>
  </si>
  <si>
    <t xml:space="preserve">Courses supermarché</t>
  </si>
  <si>
    <t xml:space="preserve">Parent 1</t>
  </si>
  <si>
    <t xml:space="preserve">Paquet de couches</t>
  </si>
  <si>
    <t xml:space="preserve">Parent 2</t>
  </si>
  <si>
    <t xml:space="preserve">Loyer novembre</t>
  </si>
  <si>
    <t xml:space="preserve">Compte commun</t>
  </si>
  <si>
    <t xml:space="preserve">Facture électricité</t>
  </si>
  <si>
    <t xml:space="preserve">Cours de natation</t>
  </si>
  <si>
    <t xml:space="preserve">Tableau de bord du mois</t>
  </si>
  <si>
    <t xml:space="preserve">Total dépensé</t>
  </si>
  <si>
    <t xml:space="preserve">Reste à vivre</t>
  </si>
  <si>
    <t xml:space="preserve">Objectif d'épargne</t>
  </si>
  <si>
    <t xml:space="preserve">Objectif atteint ?</t>
  </si>
  <si>
    <t xml:space="preserve">Dépensé</t>
  </si>
  <si>
    <t xml:space="preserve">Reste</t>
  </si>
  <si>
    <t xml:space="preserve">% utilisé</t>
  </si>
  <si>
    <t xml:space="preserve">Progression</t>
  </si>
  <si>
    <t xml:space="preserve">Total</t>
  </si>
  <si>
    <t xml:space="preserve">Dépenses sans catégorie reconnue</t>
  </si>
  <si>
    <t xml:space="preserve">Orange = 80 % du budget atteint · Rouge = budget dépassé</t>
  </si>
  <si>
    <t xml:space="preserve">Défi 30 jours d'économies en famille</t>
  </si>
  <si>
    <t xml:space="preserve">Un petit geste par jour : choisissez « Oui » et notez l'économie estimée.</t>
  </si>
  <si>
    <t xml:space="preserve">Jours réussis</t>
  </si>
  <si>
    <t xml:space="preserve">Total économisé</t>
  </si>
  <si>
    <t xml:space="preserve">BONUS OFFERT</t>
  </si>
  <si>
    <t xml:space="preserve">Jour</t>
  </si>
  <si>
    <t xml:space="preserve">Défi du jour</t>
  </si>
  <si>
    <t xml:space="preserve">Réussi ?</t>
  </si>
  <si>
    <t xml:space="preserve">Économie</t>
  </si>
  <si>
    <t xml:space="preserve">Faire l'inventaire du frigo et des placards avant les courses</t>
  </si>
  <si>
    <t xml:space="preserve">Préparer une liste de courses et s'y tenir</t>
  </si>
  <si>
    <t xml:space="preserve">Repas « fond de placard » ce soir</t>
  </si>
  <si>
    <t xml:space="preserve">Résilier ou suspendre un abonnement peu utilisé</t>
  </si>
  <si>
    <t xml:space="preserve">Journée sans aucune dépense</t>
  </si>
  <si>
    <t xml:space="preserve">Préparer le goûter des enfants maison</t>
  </si>
  <si>
    <t xml:space="preserve">Comparer son forfait mobile et internet</t>
  </si>
  <si>
    <t xml:space="preserve">Vendre un vêtement ou jouet trop petit (Vinted, Leboncoin)</t>
  </si>
  <si>
    <t xml:space="preserve">Batch cooking : cuisiner 3 repas d'avance</t>
  </si>
  <si>
    <t xml:space="preserve">Sortie gratuite en famille (parc, bibliothèque, balade)</t>
  </si>
  <si>
    <t xml:space="preserve">Vérifier ses droits CAF sur caf.fr (simulateur)</t>
  </si>
  <si>
    <t xml:space="preserve">Acheter en marque distributeur pour 5 produits</t>
  </si>
  <si>
    <t xml:space="preserve">Éteindre les appareils en veille de la maison</t>
  </si>
  <si>
    <t xml:space="preserve">Emprunter au lieu d'acheter (livre, jeu, outil)</t>
  </si>
  <si>
    <t xml:space="preserve">Pique-nique au lieu du restaurant</t>
  </si>
  <si>
    <t xml:space="preserve">Utiliser une appli anti-gaspi (ex. Too Good To Go)</t>
  </si>
  <si>
    <t xml:space="preserve">Faire le point sur ses assurances</t>
  </si>
  <si>
    <t xml:space="preserve">Douches plus courtes pour toute la famille</t>
  </si>
  <si>
    <t xml:space="preserve">Organiser un troc de vêtements enfants entre parents</t>
  </si>
  <si>
    <t xml:space="preserve">Cuisiner avec les restes</t>
  </si>
  <si>
    <t xml:space="preserve">Désinstaller une appli d'achat compulsif</t>
  </si>
  <si>
    <t xml:space="preserve">Préparer les repas de la semaine à l'avance</t>
  </si>
  <si>
    <t xml:space="preserve">Comparer le prix au kilo, pas au paquet</t>
  </si>
  <si>
    <t xml:space="preserve">Après-midi jeux de société à la maison</t>
  </si>
  <si>
    <t xml:space="preserve">Revoir le budget courses du mois prochain</t>
  </si>
  <si>
    <t xml:space="preserve">Mettre l'argent économisé de côté (virement épargne)</t>
  </si>
  <si>
    <t xml:space="preserve">Faire le bilan du défi en famille et fêter ça (gratuitement !)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</si>
</sst>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m\ yyyy"/>
    <numFmt numFmtId="166" formatCode="#,##0.00&quot; €&quot;;\-#,##0.00&quot; €&quot;;\-"/>
    <numFmt numFmtId="167" formatCode="dd/mm/yyyy"/>
    <numFmt numFmtId="168" formatCode="0%;\-0%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b val="true"/>
      <sz val="24"/>
      <color rgb="FF2E7D6B"/>
      <name val="Arial"/>
      <family val="0"/>
      <charset val="1"/>
    </font>
    <font>
      <sz val="11"/>
      <color rgb="FF5E6B70"/>
      <name val="Arial"/>
      <family val="0"/>
      <charset val="1"/>
    </font>
    <font>
      <b val="true"/>
      <sz val="14"/>
      <color rgb="FF2E7D6B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1F2A2E"/>
      <name val="Arial"/>
      <family val="0"/>
      <charset val="1"/>
    </font>
    <font>
      <b val="true"/>
      <sz val="12"/>
      <color rgb="FFE9785A"/>
      <name val="Arial"/>
      <family val="0"/>
      <charset val="1"/>
    </font>
    <font>
      <b val="true"/>
      <sz val="20"/>
      <color rgb="FF2E7D6B"/>
      <name val="Arial"/>
      <family val="0"/>
      <charset val="1"/>
    </font>
    <font>
      <b val="true"/>
      <sz val="10"/>
      <color rgb="FF1F2A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E7D6B"/>
      <name val="Arial"/>
      <family val="0"/>
      <charset val="1"/>
    </font>
    <font>
      <i val="true"/>
      <sz val="9"/>
      <color rgb="FF5E6B70"/>
      <name val="Arial"/>
      <family val="0"/>
      <charset val="1"/>
    </font>
    <font>
      <i val="true"/>
      <sz val="10"/>
      <color rgb="FF5E6B70"/>
      <name val="Arial"/>
      <family val="0"/>
      <charset val="1"/>
    </font>
    <font>
      <b val="true"/>
      <sz val="11"/>
      <color rgb="FF5E6B70"/>
      <name val="Arial"/>
      <family val="0"/>
      <charset val="1"/>
    </font>
    <font>
      <b val="true"/>
      <sz val="9"/>
      <color rgb="FF5E6B70"/>
      <name val="Arial"/>
      <family val="0"/>
      <charset val="1"/>
    </font>
    <font>
      <b val="true"/>
      <sz val="15"/>
      <color rgb="FF1F2A2E"/>
      <name val="Arial"/>
      <family val="0"/>
      <charset val="1"/>
    </font>
    <font>
      <b val="true"/>
      <sz val="15"/>
      <color rgb="FF2E7D6B"/>
      <name val="Arial"/>
      <family val="0"/>
      <charset val="1"/>
    </font>
    <font>
      <sz val="10"/>
      <color rgb="FF2E7D6B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BF6EE"/>
        <bgColor rgb="FFF7F7F5"/>
      </patternFill>
    </fill>
    <fill>
      <patternFill patternType="solid">
        <fgColor rgb="FFE9785A"/>
        <bgColor rgb="FFFF6600"/>
      </patternFill>
    </fill>
    <fill>
      <patternFill patternType="solid">
        <fgColor rgb="FFFFFFFF"/>
        <bgColor rgb="FFFFFBEA"/>
      </patternFill>
    </fill>
    <fill>
      <patternFill patternType="solid">
        <fgColor rgb="FFFFF7D6"/>
        <bgColor rgb="FFFFFBEA"/>
      </patternFill>
    </fill>
    <fill>
      <patternFill patternType="solid">
        <fgColor rgb="FFFFE8CC"/>
        <bgColor rgb="FFECE6DA"/>
      </patternFill>
    </fill>
    <fill>
      <patternFill patternType="solid">
        <fgColor rgb="FFF8D7DA"/>
        <bgColor rgb="FFECE6DA"/>
      </patternFill>
    </fill>
    <fill>
      <patternFill patternType="solid">
        <fgColor rgb="FF2E7D6B"/>
        <bgColor rgb="FF008080"/>
      </patternFill>
    </fill>
    <fill>
      <patternFill patternType="solid">
        <fgColor rgb="FFE3F2EE"/>
        <bgColor rgb="FFD4EDDA"/>
      </patternFill>
    </fill>
    <fill>
      <patternFill patternType="solid">
        <fgColor rgb="FFFFFBEA"/>
        <bgColor rgb="FFFBF6EE"/>
      </patternFill>
    </fill>
    <fill>
      <patternFill patternType="solid">
        <fgColor rgb="FFF7F7F5"/>
        <bgColor rgb="FFFBF6EE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 style="thin">
        <color rgb="FFFBF6EE"/>
      </top>
      <bottom style="thin">
        <color rgb="FFFBF6EE"/>
      </bottom>
      <diagonal/>
    </border>
    <border diagonalUp="false" diagonalDown="false">
      <left style="thin">
        <color rgb="FFECE6DA"/>
      </left>
      <right style="thin">
        <color rgb="FFECE6DA"/>
      </right>
      <top style="thin">
        <color rgb="FFECE6DA"/>
      </top>
      <bottom style="thin">
        <color rgb="FFECE6DA"/>
      </bottom>
      <diagonal/>
    </border>
    <border diagonalUp="false" diagonalDown="false">
      <left/>
      <right/>
      <top/>
      <bottom style="thin">
        <color rgb="FFECE6DA"/>
      </bottom>
      <diagonal/>
    </border>
    <border diagonalUp="false" diagonalDown="false">
      <left style="thin">
        <color rgb="FFECE6DA"/>
      </left>
      <right style="thin">
        <color rgb="FFECE6DA"/>
      </right>
      <top style="thin">
        <color rgb="FFECE6DA"/>
      </top>
      <bottom/>
      <diagonal/>
    </border>
    <border diagonalUp="false" diagonalDown="false">
      <left style="thin">
        <color rgb="FFECE6DA"/>
      </left>
      <right style="thin">
        <color rgb="FFECE6DA"/>
      </right>
      <top/>
      <bottom style="thin">
        <color rgb="FFECE6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9" fillId="11" borderId="5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6" fontId="20" fillId="9" borderId="5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20" fillId="9" borderId="5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>
          <bgColor rgb="FFFFE8CC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BF6EE"/>
      <rgbColor rgb="FF808080"/>
      <rgbColor rgb="FF9999FF"/>
      <rgbColor rgb="FF993366"/>
      <rgbColor rgb="FFFFF7D6"/>
      <rgbColor rgb="FFE3F2EE"/>
      <rgbColor rgb="FF660066"/>
      <rgbColor rgb="FFE9785A"/>
      <rgbColor rgb="FF0066CC"/>
      <rgbColor rgb="FFECE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5"/>
      <rgbColor rgb="FFD4EDDA"/>
      <rgbColor rgb="FFFFE8CC"/>
      <rgbColor rgb="FFFFFBEA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6B70"/>
      <rgbColor rgb="FF969696"/>
      <rgbColor rgb="FF003366"/>
      <rgbColor rgb="FF2E7D6B"/>
      <rgbColor rgb="FF003300"/>
      <rgbColor rgb="FF333300"/>
      <rgbColor rgb="FF993300"/>
      <rgbColor rgb="FF993366"/>
      <rgbColor rgb="FF333399"/>
      <rgbColor rgb="FF1F2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21.75" hidden="false" customHeight="true" outlineLevel="0" collapsed="false">
      <c r="A2" s="1"/>
      <c r="B2" s="2" t="s">
        <v>0</v>
      </c>
      <c r="C2" s="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39.75" hidden="false" customHeight="true" outlineLevel="0" collapsed="false">
      <c r="A4" s="1"/>
      <c r="B4" s="3" t="s">
        <v>1</v>
      </c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Format="false" ht="39.75" hidden="false" customHeight="true" outlineLevel="0" collapsed="false">
      <c r="A5" s="1"/>
      <c r="B5" s="4" t="s">
        <v>2</v>
      </c>
      <c r="C5" s="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30" hidden="false" customHeight="true" outlineLevel="0" collapsed="false">
      <c r="A7" s="1"/>
      <c r="B7" s="5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Format="false" ht="39.75" hidden="false" customHeight="true" outlineLevel="0" collapsed="false">
      <c r="A8" s="1"/>
      <c r="B8" s="6" t="n">
        <v>1</v>
      </c>
      <c r="C8" s="7" t="s">
        <v>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Format="false" ht="39.75" hidden="false" customHeight="true" outlineLevel="0" collapsed="false">
      <c r="A9" s="1"/>
      <c r="B9" s="6" t="n">
        <v>2</v>
      </c>
      <c r="C9" s="7" t="s">
        <v>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customFormat="false" ht="39.75" hidden="false" customHeight="true" outlineLevel="0" collapsed="false">
      <c r="A10" s="1"/>
      <c r="B10" s="6" t="n">
        <v>3</v>
      </c>
      <c r="C10" s="7" t="s">
        <v>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customFormat="false" ht="39.75" hidden="false" customHeight="true" outlineLevel="0" collapsed="false">
      <c r="A11" s="1"/>
      <c r="B11" s="6" t="n">
        <v>4</v>
      </c>
      <c r="C11" s="7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customFormat="false" ht="30" hidden="false" customHeight="true" outlineLevel="0" collapsed="false">
      <c r="A13" s="1"/>
      <c r="B13" s="5" t="s">
        <v>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customFormat="false" ht="21.75" hidden="false" customHeight="true" outlineLevel="0" collapsed="false">
      <c r="A14" s="1"/>
      <c r="B14" s="8"/>
      <c r="C14" s="9" t="s">
        <v>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customFormat="false" ht="21.75" hidden="false" customHeight="true" outlineLevel="0" collapsed="false">
      <c r="A15" s="1"/>
      <c r="B15" s="10"/>
      <c r="C15" s="9" t="s">
        <v>10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customFormat="false" ht="21.75" hidden="false" customHeight="true" outlineLevel="0" collapsed="false">
      <c r="A16" s="1"/>
      <c r="B16" s="11"/>
      <c r="C16" s="9" t="s">
        <v>11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customFormat="false" ht="21.75" hidden="false" customHeight="true" outlineLevel="0" collapsed="false">
      <c r="A17" s="1"/>
      <c r="B17" s="12"/>
      <c r="C17" s="9" t="s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customFormat="false" ht="30" hidden="false" customHeight="true" outlineLevel="0" collapsed="false">
      <c r="A19" s="1"/>
      <c r="B19" s="5" t="s">
        <v>13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customFormat="false" ht="30" hidden="false" customHeight="true" outlineLevel="0" collapsed="false">
      <c r="A20" s="1"/>
      <c r="B20" s="13" t="s">
        <v>14</v>
      </c>
      <c r="C20" s="14" t="s">
        <v>15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customFormat="false" ht="30" hidden="false" customHeight="true" outlineLevel="0" collapsed="false">
      <c r="A21" s="1"/>
      <c r="B21" s="13" t="s">
        <v>14</v>
      </c>
      <c r="C21" s="14" t="s">
        <v>16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customFormat="false" ht="30" hidden="false" customHeight="true" outlineLevel="0" collapsed="false">
      <c r="A22" s="1"/>
      <c r="B22" s="13" t="s">
        <v>14</v>
      </c>
      <c r="C22" s="14" t="s">
        <v>17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customFormat="false" ht="30" hidden="false" customHeight="true" outlineLevel="0" collapsed="false">
      <c r="A23" s="1"/>
      <c r="B23" s="13" t="s">
        <v>14</v>
      </c>
      <c r="C23" s="14" t="s">
        <v>18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</sheetData>
  <mergeCells count="3">
    <mergeCell ref="B2:C2"/>
    <mergeCell ref="B4:C4"/>
    <mergeCell ref="B5:C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7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3.75" hidden="false" customHeight="true" outlineLevel="0" collapsed="false">
      <c r="A2" s="1"/>
      <c r="B2" s="15" t="s">
        <v>19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9.5" hidden="false" customHeight="true" outlineLevel="0" collapsed="false">
      <c r="A3" s="1"/>
      <c r="B3" s="16" t="s">
        <v>20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Format="false" ht="21.75" hidden="false" customHeight="true" outlineLevel="0" collapsed="false">
      <c r="A5" s="1"/>
      <c r="B5" s="17" t="s">
        <v>21</v>
      </c>
      <c r="C5" s="18" t="n">
        <v>46327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Format="false" ht="21.75" hidden="false" customHeight="true" outlineLevel="0" collapsed="false">
      <c r="A6" s="1"/>
      <c r="B6" s="17" t="s">
        <v>22</v>
      </c>
      <c r="C6" s="19" t="n">
        <v>150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Format="false" ht="25.5" hidden="false" customHeight="true" outlineLevel="0" collapsed="false">
      <c r="A8" s="1"/>
      <c r="B8" s="20" t="s">
        <v>23</v>
      </c>
      <c r="C8" s="21" t="s">
        <v>24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Format="false" ht="21.75" hidden="false" customHeight="true" outlineLevel="0" collapsed="false">
      <c r="A9" s="1"/>
      <c r="B9" s="22" t="s">
        <v>25</v>
      </c>
      <c r="C9" s="19" t="n">
        <v>1800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customFormat="false" ht="21.75" hidden="false" customHeight="true" outlineLevel="0" collapsed="false">
      <c r="A10" s="1"/>
      <c r="B10" s="22" t="s">
        <v>26</v>
      </c>
      <c r="C10" s="19" t="n">
        <v>1500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customFormat="false" ht="21.75" hidden="false" customHeight="true" outlineLevel="0" collapsed="false">
      <c r="A11" s="1"/>
      <c r="B11" s="22" t="s">
        <v>27</v>
      </c>
      <c r="C11" s="19" t="n">
        <v>150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customFormat="false" ht="21.75" hidden="false" customHeight="true" outlineLevel="0" collapsed="false">
      <c r="A12" s="1"/>
      <c r="B12" s="22" t="s">
        <v>28</v>
      </c>
      <c r="C12" s="19" t="n">
        <v>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customFormat="false" ht="21.75" hidden="false" customHeight="true" outlineLevel="0" collapsed="false">
      <c r="A13" s="1"/>
      <c r="B13" s="22"/>
      <c r="C13" s="19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customFormat="false" ht="21.75" hidden="false" customHeight="true" outlineLevel="0" collapsed="false">
      <c r="A14" s="1"/>
      <c r="B14" s="22"/>
      <c r="C14" s="19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customFormat="false" ht="24" hidden="false" customHeight="true" outlineLevel="0" collapsed="false">
      <c r="A15" s="1"/>
      <c r="B15" s="23" t="s">
        <v>29</v>
      </c>
      <c r="C15" s="24" t="n">
        <f aca="false">SUM(C9:C14)</f>
        <v>3450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customFormat="false" ht="25.5" hidden="false" customHeight="true" outlineLevel="0" collapsed="false">
      <c r="A17" s="1"/>
      <c r="B17" s="20" t="s">
        <v>30</v>
      </c>
      <c r="C17" s="21" t="s">
        <v>31</v>
      </c>
      <c r="D17" s="21" t="s">
        <v>32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customFormat="false" ht="21.75" hidden="false" customHeight="true" outlineLevel="0" collapsed="false">
      <c r="A18" s="1"/>
      <c r="B18" s="22" t="s">
        <v>33</v>
      </c>
      <c r="C18" s="19" t="n">
        <v>900</v>
      </c>
      <c r="D18" s="25" t="s">
        <v>34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customFormat="false" ht="21.75" hidden="false" customHeight="true" outlineLevel="0" collapsed="false">
      <c r="A19" s="1"/>
      <c r="B19" s="22" t="s">
        <v>35</v>
      </c>
      <c r="C19" s="19" t="n">
        <v>140</v>
      </c>
      <c r="D19" s="25" t="s">
        <v>34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customFormat="false" ht="21.75" hidden="false" customHeight="true" outlineLevel="0" collapsed="false">
      <c r="A20" s="1"/>
      <c r="B20" s="22" t="s">
        <v>36</v>
      </c>
      <c r="C20" s="19" t="n">
        <v>50</v>
      </c>
      <c r="D20" s="25" t="s">
        <v>34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customFormat="false" ht="21.75" hidden="false" customHeight="true" outlineLevel="0" collapsed="false">
      <c r="A21" s="1"/>
      <c r="B21" s="22" t="s">
        <v>37</v>
      </c>
      <c r="C21" s="19" t="n">
        <v>80</v>
      </c>
      <c r="D21" s="25" t="s">
        <v>34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customFormat="false" ht="21.75" hidden="false" customHeight="true" outlineLevel="0" collapsed="false">
      <c r="A22" s="1"/>
      <c r="B22" s="22" t="s">
        <v>38</v>
      </c>
      <c r="C22" s="19" t="n">
        <v>250</v>
      </c>
      <c r="D22" s="25" t="s">
        <v>34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customFormat="false" ht="21.75" hidden="false" customHeight="true" outlineLevel="0" collapsed="false">
      <c r="A23" s="1"/>
      <c r="B23" s="22" t="s">
        <v>39</v>
      </c>
      <c r="C23" s="19" t="n">
        <v>80</v>
      </c>
      <c r="D23" s="25" t="s">
        <v>34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customFormat="false" ht="21.75" hidden="false" customHeight="true" outlineLevel="0" collapsed="false">
      <c r="A24" s="1"/>
      <c r="B24" s="22" t="s">
        <v>40</v>
      </c>
      <c r="C24" s="19" t="n">
        <v>550</v>
      </c>
      <c r="D24" s="25" t="s">
        <v>41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21.75" hidden="false" customHeight="true" outlineLevel="0" collapsed="false">
      <c r="A25" s="1"/>
      <c r="B25" s="22" t="s">
        <v>42</v>
      </c>
      <c r="C25" s="19" t="n">
        <v>60</v>
      </c>
      <c r="D25" s="25" t="s">
        <v>41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customFormat="false" ht="21.75" hidden="false" customHeight="true" outlineLevel="0" collapsed="false">
      <c r="A26" s="1"/>
      <c r="B26" s="22" t="s">
        <v>43</v>
      </c>
      <c r="C26" s="19" t="n">
        <v>50</v>
      </c>
      <c r="D26" s="25" t="s">
        <v>41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customFormat="false" ht="21.75" hidden="false" customHeight="true" outlineLevel="0" collapsed="false">
      <c r="A27" s="1"/>
      <c r="B27" s="22" t="s">
        <v>44</v>
      </c>
      <c r="C27" s="19" t="n">
        <v>40</v>
      </c>
      <c r="D27" s="25" t="s">
        <v>41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customFormat="false" ht="21.75" hidden="false" customHeight="true" outlineLevel="0" collapsed="false">
      <c r="A28" s="1"/>
      <c r="B28" s="22" t="s">
        <v>45</v>
      </c>
      <c r="C28" s="19" t="n">
        <v>30</v>
      </c>
      <c r="D28" s="25" t="s">
        <v>41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customFormat="false" ht="21.75" hidden="false" customHeight="true" outlineLevel="0" collapsed="false">
      <c r="A29" s="1"/>
      <c r="B29" s="22" t="s">
        <v>46</v>
      </c>
      <c r="C29" s="19" t="n">
        <v>150</v>
      </c>
      <c r="D29" s="25" t="s">
        <v>41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customFormat="false" ht="21.75" hidden="false" customHeight="true" outlineLevel="0" collapsed="false">
      <c r="A30" s="1"/>
      <c r="B30" s="22" t="s">
        <v>47</v>
      </c>
      <c r="C30" s="19" t="n">
        <v>60</v>
      </c>
      <c r="D30" s="25" t="s">
        <v>41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customFormat="false" ht="21.75" hidden="false" customHeight="true" outlineLevel="0" collapsed="false">
      <c r="A31" s="1"/>
      <c r="B31" s="22" t="s">
        <v>48</v>
      </c>
      <c r="C31" s="19" t="n">
        <v>30</v>
      </c>
      <c r="D31" s="25" t="s">
        <v>41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21.75" hidden="false" customHeight="true" outlineLevel="0" collapsed="false">
      <c r="A32" s="1"/>
      <c r="B32" s="22" t="s">
        <v>49</v>
      </c>
      <c r="C32" s="19" t="n">
        <v>25</v>
      </c>
      <c r="D32" s="25" t="s">
        <v>41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21.75" hidden="false" customHeight="true" outlineLevel="0" collapsed="false">
      <c r="A33" s="1"/>
      <c r="B33" s="22" t="s">
        <v>50</v>
      </c>
      <c r="C33" s="19" t="n">
        <v>50</v>
      </c>
      <c r="D33" s="25" t="s">
        <v>41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21.75" hidden="false" customHeight="true" outlineLevel="0" collapsed="false">
      <c r="A34" s="1"/>
      <c r="B34" s="22"/>
      <c r="C34" s="19"/>
      <c r="D34" s="2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21.75" hidden="false" customHeight="true" outlineLevel="0" collapsed="false">
      <c r="A35" s="1"/>
      <c r="B35" s="22"/>
      <c r="C35" s="19"/>
      <c r="D35" s="25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21.75" hidden="false" customHeight="true" outlineLevel="0" collapsed="false">
      <c r="A36" s="1"/>
      <c r="B36" s="22"/>
      <c r="C36" s="19"/>
      <c r="D36" s="2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21.75" hidden="false" customHeight="true" outlineLevel="0" collapsed="false">
      <c r="A37" s="1"/>
      <c r="B37" s="22"/>
      <c r="C37" s="19"/>
      <c r="D37" s="25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24" hidden="false" customHeight="true" outlineLevel="0" collapsed="false">
      <c r="A38" s="1"/>
      <c r="B38" s="23" t="s">
        <v>51</v>
      </c>
      <c r="C38" s="24" t="n">
        <f aca="false">SUM(C18:C37)</f>
        <v>2545</v>
      </c>
      <c r="D38" s="26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15" hidden="false" customHeight="false" outlineLevel="0" collapsed="false">
      <c r="A40" s="1"/>
      <c r="B40" s="27" t="s">
        <v>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</sheetData>
  <dataValidations count="1">
    <dataValidation allowBlank="true" errorStyle="stop" operator="between" showDropDown="false" showErrorMessage="false" showInputMessage="false" sqref="D18:D37" type="list">
      <formula1>"Fixe,Variable"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4" min="3" style="0" width="30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3.75" hidden="false" customHeight="true" outlineLevel="0" collapsed="false">
      <c r="A2" s="1"/>
      <c r="B2" s="15" t="s">
        <v>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9.5" hidden="false" customHeight="true" outlineLevel="0" collapsed="false">
      <c r="A3" s="1"/>
      <c r="B3" s="16" t="s">
        <v>54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Format="false" ht="25.5" hidden="false" customHeight="true" outlineLevel="0" collapsed="false">
      <c r="A5" s="1"/>
      <c r="B5" s="20" t="s">
        <v>55</v>
      </c>
      <c r="C5" s="21" t="s">
        <v>56</v>
      </c>
      <c r="D5" s="21" t="s">
        <v>57</v>
      </c>
      <c r="E5" s="21" t="s">
        <v>24</v>
      </c>
      <c r="F5" s="21" t="s">
        <v>58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Format="false" ht="21" hidden="false" customHeight="true" outlineLevel="0" collapsed="false">
      <c r="A6" s="1"/>
      <c r="B6" s="28" t="n">
        <v>46328</v>
      </c>
      <c r="C6" s="29" t="s">
        <v>59</v>
      </c>
      <c r="D6" s="29" t="s">
        <v>40</v>
      </c>
      <c r="E6" s="30" t="n">
        <v>87.4</v>
      </c>
      <c r="F6" s="29" t="s">
        <v>60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21" hidden="false" customHeight="true" outlineLevel="0" collapsed="false">
      <c r="A7" s="1"/>
      <c r="B7" s="31" t="n">
        <v>46329</v>
      </c>
      <c r="C7" s="32" t="s">
        <v>61</v>
      </c>
      <c r="D7" s="32" t="s">
        <v>42</v>
      </c>
      <c r="E7" s="33" t="n">
        <v>18.9</v>
      </c>
      <c r="F7" s="32" t="s">
        <v>62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Format="false" ht="21" hidden="false" customHeight="true" outlineLevel="0" collapsed="false">
      <c r="A8" s="1"/>
      <c r="B8" s="28" t="n">
        <v>46331</v>
      </c>
      <c r="C8" s="29" t="s">
        <v>63</v>
      </c>
      <c r="D8" s="29" t="s">
        <v>33</v>
      </c>
      <c r="E8" s="30" t="n">
        <v>900</v>
      </c>
      <c r="F8" s="29" t="s">
        <v>64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Format="false" ht="21" hidden="false" customHeight="true" outlineLevel="0" collapsed="false">
      <c r="A9" s="1"/>
      <c r="B9" s="31" t="n">
        <v>46332</v>
      </c>
      <c r="C9" s="32" t="s">
        <v>65</v>
      </c>
      <c r="D9" s="32" t="s">
        <v>35</v>
      </c>
      <c r="E9" s="33" t="n">
        <v>98.4</v>
      </c>
      <c r="F9" s="32" t="s">
        <v>64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customFormat="false" ht="21" hidden="false" customHeight="true" outlineLevel="0" collapsed="false">
      <c r="A10" s="1"/>
      <c r="B10" s="28" t="n">
        <v>46335</v>
      </c>
      <c r="C10" s="29" t="s">
        <v>66</v>
      </c>
      <c r="D10" s="29" t="s">
        <v>44</v>
      </c>
      <c r="E10" s="30" t="n">
        <v>25</v>
      </c>
      <c r="F10" s="29" t="s">
        <v>60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customFormat="false" ht="21" hidden="false" customHeight="true" outlineLevel="0" collapsed="false">
      <c r="A11" s="1"/>
      <c r="B11" s="34"/>
      <c r="C11" s="35"/>
      <c r="D11" s="35"/>
      <c r="E11" s="36"/>
      <c r="F11" s="3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customFormat="false" ht="21" hidden="false" customHeight="true" outlineLevel="0" collapsed="false">
      <c r="A12" s="1"/>
      <c r="B12" s="37"/>
      <c r="C12" s="22"/>
      <c r="D12" s="22"/>
      <c r="E12" s="19"/>
      <c r="F12" s="2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customFormat="false" ht="21" hidden="false" customHeight="true" outlineLevel="0" collapsed="false">
      <c r="A13" s="1"/>
      <c r="B13" s="34"/>
      <c r="C13" s="35"/>
      <c r="D13" s="35"/>
      <c r="E13" s="36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customFormat="false" ht="21" hidden="false" customHeight="true" outlineLevel="0" collapsed="false">
      <c r="A14" s="1"/>
      <c r="B14" s="37"/>
      <c r="C14" s="22"/>
      <c r="D14" s="22"/>
      <c r="E14" s="19"/>
      <c r="F14" s="2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customFormat="false" ht="21" hidden="false" customHeight="true" outlineLevel="0" collapsed="false">
      <c r="A15" s="1"/>
      <c r="B15" s="34"/>
      <c r="C15" s="35"/>
      <c r="D15" s="35"/>
      <c r="E15" s="36"/>
      <c r="F15" s="35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customFormat="false" ht="21" hidden="false" customHeight="true" outlineLevel="0" collapsed="false">
      <c r="A16" s="1"/>
      <c r="B16" s="37"/>
      <c r="C16" s="22"/>
      <c r="D16" s="22"/>
      <c r="E16" s="19"/>
      <c r="F16" s="2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customFormat="false" ht="21" hidden="false" customHeight="true" outlineLevel="0" collapsed="false">
      <c r="A17" s="1"/>
      <c r="B17" s="34"/>
      <c r="C17" s="35"/>
      <c r="D17" s="35"/>
      <c r="E17" s="36"/>
      <c r="F17" s="35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customFormat="false" ht="21" hidden="false" customHeight="true" outlineLevel="0" collapsed="false">
      <c r="A18" s="1"/>
      <c r="B18" s="37"/>
      <c r="C18" s="22"/>
      <c r="D18" s="22"/>
      <c r="E18" s="19"/>
      <c r="F18" s="22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customFormat="false" ht="21" hidden="false" customHeight="true" outlineLevel="0" collapsed="false">
      <c r="A19" s="1"/>
      <c r="B19" s="34"/>
      <c r="C19" s="35"/>
      <c r="D19" s="35"/>
      <c r="E19" s="36"/>
      <c r="F19" s="35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customFormat="false" ht="21" hidden="false" customHeight="true" outlineLevel="0" collapsed="false">
      <c r="A20" s="1"/>
      <c r="B20" s="37"/>
      <c r="C20" s="22"/>
      <c r="D20" s="22"/>
      <c r="E20" s="19"/>
      <c r="F20" s="2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customFormat="false" ht="21" hidden="false" customHeight="true" outlineLevel="0" collapsed="false">
      <c r="A21" s="1"/>
      <c r="B21" s="34"/>
      <c r="C21" s="35"/>
      <c r="D21" s="35"/>
      <c r="E21" s="36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customFormat="false" ht="21" hidden="false" customHeight="true" outlineLevel="0" collapsed="false">
      <c r="A22" s="1"/>
      <c r="B22" s="37"/>
      <c r="C22" s="22"/>
      <c r="D22" s="22"/>
      <c r="E22" s="19"/>
      <c r="F22" s="2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customFormat="false" ht="21" hidden="false" customHeight="true" outlineLevel="0" collapsed="false">
      <c r="A23" s="1"/>
      <c r="B23" s="34"/>
      <c r="C23" s="35"/>
      <c r="D23" s="35"/>
      <c r="E23" s="36"/>
      <c r="F23" s="35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customFormat="false" ht="21" hidden="false" customHeight="true" outlineLevel="0" collapsed="false">
      <c r="A24" s="1"/>
      <c r="B24" s="37"/>
      <c r="C24" s="22"/>
      <c r="D24" s="22"/>
      <c r="E24" s="19"/>
      <c r="F24" s="2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21" hidden="false" customHeight="true" outlineLevel="0" collapsed="false">
      <c r="A25" s="1"/>
      <c r="B25" s="34"/>
      <c r="C25" s="35"/>
      <c r="D25" s="35"/>
      <c r="E25" s="36"/>
      <c r="F25" s="35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customFormat="false" ht="21" hidden="false" customHeight="true" outlineLevel="0" collapsed="false">
      <c r="A26" s="1"/>
      <c r="B26" s="37"/>
      <c r="C26" s="22"/>
      <c r="D26" s="22"/>
      <c r="E26" s="19"/>
      <c r="F26" s="2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customFormat="false" ht="21" hidden="false" customHeight="true" outlineLevel="0" collapsed="false">
      <c r="A27" s="1"/>
      <c r="B27" s="34"/>
      <c r="C27" s="35"/>
      <c r="D27" s="35"/>
      <c r="E27" s="36"/>
      <c r="F27" s="35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customFormat="false" ht="21" hidden="false" customHeight="true" outlineLevel="0" collapsed="false">
      <c r="A28" s="1"/>
      <c r="B28" s="37"/>
      <c r="C28" s="22"/>
      <c r="D28" s="22"/>
      <c r="E28" s="19"/>
      <c r="F28" s="2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customFormat="false" ht="21" hidden="false" customHeight="true" outlineLevel="0" collapsed="false">
      <c r="A29" s="1"/>
      <c r="B29" s="34"/>
      <c r="C29" s="35"/>
      <c r="D29" s="35"/>
      <c r="E29" s="36"/>
      <c r="F29" s="35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customFormat="false" ht="21" hidden="false" customHeight="true" outlineLevel="0" collapsed="false">
      <c r="A30" s="1"/>
      <c r="B30" s="37"/>
      <c r="C30" s="22"/>
      <c r="D30" s="22"/>
      <c r="E30" s="19"/>
      <c r="F30" s="2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customFormat="false" ht="21" hidden="false" customHeight="true" outlineLevel="0" collapsed="false">
      <c r="A31" s="1"/>
      <c r="B31" s="34"/>
      <c r="C31" s="35"/>
      <c r="D31" s="35"/>
      <c r="E31" s="36"/>
      <c r="F31" s="35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21" hidden="false" customHeight="true" outlineLevel="0" collapsed="false">
      <c r="A32" s="1"/>
      <c r="B32" s="37"/>
      <c r="C32" s="22"/>
      <c r="D32" s="22"/>
      <c r="E32" s="19"/>
      <c r="F32" s="2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21" hidden="false" customHeight="true" outlineLevel="0" collapsed="false">
      <c r="A33" s="1"/>
      <c r="B33" s="34"/>
      <c r="C33" s="35"/>
      <c r="D33" s="35"/>
      <c r="E33" s="36"/>
      <c r="F33" s="35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21" hidden="false" customHeight="true" outlineLevel="0" collapsed="false">
      <c r="A34" s="1"/>
      <c r="B34" s="37"/>
      <c r="C34" s="22"/>
      <c r="D34" s="22"/>
      <c r="E34" s="19"/>
      <c r="F34" s="2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21" hidden="false" customHeight="true" outlineLevel="0" collapsed="false">
      <c r="A35" s="1"/>
      <c r="B35" s="34"/>
      <c r="C35" s="35"/>
      <c r="D35" s="35"/>
      <c r="E35" s="36"/>
      <c r="F35" s="35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21" hidden="false" customHeight="true" outlineLevel="0" collapsed="false">
      <c r="A36" s="1"/>
      <c r="B36" s="37"/>
      <c r="C36" s="22"/>
      <c r="D36" s="22"/>
      <c r="E36" s="19"/>
      <c r="F36" s="2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21" hidden="false" customHeight="true" outlineLevel="0" collapsed="false">
      <c r="A37" s="1"/>
      <c r="B37" s="34"/>
      <c r="C37" s="35"/>
      <c r="D37" s="35"/>
      <c r="E37" s="36"/>
      <c r="F37" s="35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21" hidden="false" customHeight="true" outlineLevel="0" collapsed="false">
      <c r="A38" s="1"/>
      <c r="B38" s="37"/>
      <c r="C38" s="22"/>
      <c r="D38" s="22"/>
      <c r="E38" s="19"/>
      <c r="F38" s="2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21" hidden="false" customHeight="true" outlineLevel="0" collapsed="false">
      <c r="A39" s="1"/>
      <c r="B39" s="34"/>
      <c r="C39" s="35"/>
      <c r="D39" s="35"/>
      <c r="E39" s="36"/>
      <c r="F39" s="35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21" hidden="false" customHeight="true" outlineLevel="0" collapsed="false">
      <c r="A40" s="1"/>
      <c r="B40" s="37"/>
      <c r="C40" s="22"/>
      <c r="D40" s="22"/>
      <c r="E40" s="19"/>
      <c r="F40" s="2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21" hidden="false" customHeight="true" outlineLevel="0" collapsed="false">
      <c r="A41" s="1"/>
      <c r="B41" s="34"/>
      <c r="C41" s="35"/>
      <c r="D41" s="35"/>
      <c r="E41" s="36"/>
      <c r="F41" s="35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21" hidden="false" customHeight="true" outlineLevel="0" collapsed="false">
      <c r="A42" s="1"/>
      <c r="B42" s="37"/>
      <c r="C42" s="22"/>
      <c r="D42" s="22"/>
      <c r="E42" s="19"/>
      <c r="F42" s="2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21" hidden="false" customHeight="true" outlineLevel="0" collapsed="false">
      <c r="A43" s="1"/>
      <c r="B43" s="34"/>
      <c r="C43" s="35"/>
      <c r="D43" s="35"/>
      <c r="E43" s="36"/>
      <c r="F43" s="35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21" hidden="false" customHeight="true" outlineLevel="0" collapsed="false">
      <c r="A44" s="1"/>
      <c r="B44" s="37"/>
      <c r="C44" s="22"/>
      <c r="D44" s="22"/>
      <c r="E44" s="19"/>
      <c r="F44" s="2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21" hidden="false" customHeight="true" outlineLevel="0" collapsed="false">
      <c r="A45" s="1"/>
      <c r="B45" s="34"/>
      <c r="C45" s="35"/>
      <c r="D45" s="35"/>
      <c r="E45" s="36"/>
      <c r="F45" s="35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21" hidden="false" customHeight="true" outlineLevel="0" collapsed="false">
      <c r="A46" s="1"/>
      <c r="B46" s="37"/>
      <c r="C46" s="22"/>
      <c r="D46" s="22"/>
      <c r="E46" s="19"/>
      <c r="F46" s="2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21" hidden="false" customHeight="true" outlineLevel="0" collapsed="false">
      <c r="A47" s="1"/>
      <c r="B47" s="34"/>
      <c r="C47" s="35"/>
      <c r="D47" s="35"/>
      <c r="E47" s="36"/>
      <c r="F47" s="35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21" hidden="false" customHeight="true" outlineLevel="0" collapsed="false">
      <c r="A48" s="1"/>
      <c r="B48" s="37"/>
      <c r="C48" s="22"/>
      <c r="D48" s="22"/>
      <c r="E48" s="19"/>
      <c r="F48" s="2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21" hidden="false" customHeight="true" outlineLevel="0" collapsed="false">
      <c r="A49" s="1"/>
      <c r="B49" s="34"/>
      <c r="C49" s="35"/>
      <c r="D49" s="35"/>
      <c r="E49" s="36"/>
      <c r="F49" s="35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21" hidden="false" customHeight="true" outlineLevel="0" collapsed="false">
      <c r="A50" s="1"/>
      <c r="B50" s="37"/>
      <c r="C50" s="22"/>
      <c r="D50" s="22"/>
      <c r="E50" s="19"/>
      <c r="F50" s="2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21" hidden="false" customHeight="true" outlineLevel="0" collapsed="false">
      <c r="A51" s="1"/>
      <c r="B51" s="34"/>
      <c r="C51" s="35"/>
      <c r="D51" s="35"/>
      <c r="E51" s="36"/>
      <c r="F51" s="35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21" hidden="false" customHeight="true" outlineLevel="0" collapsed="false">
      <c r="A52" s="1"/>
      <c r="B52" s="37"/>
      <c r="C52" s="22"/>
      <c r="D52" s="22"/>
      <c r="E52" s="19"/>
      <c r="F52" s="2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21" hidden="false" customHeight="true" outlineLevel="0" collapsed="false">
      <c r="A53" s="1"/>
      <c r="B53" s="34"/>
      <c r="C53" s="35"/>
      <c r="D53" s="35"/>
      <c r="E53" s="36"/>
      <c r="F53" s="35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21" hidden="false" customHeight="true" outlineLevel="0" collapsed="false">
      <c r="A54" s="1"/>
      <c r="B54" s="37"/>
      <c r="C54" s="22"/>
      <c r="D54" s="22"/>
      <c r="E54" s="19"/>
      <c r="F54" s="2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21" hidden="false" customHeight="true" outlineLevel="0" collapsed="false">
      <c r="A55" s="1"/>
      <c r="B55" s="34"/>
      <c r="C55" s="35"/>
      <c r="D55" s="35"/>
      <c r="E55" s="36"/>
      <c r="F55" s="3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21" hidden="false" customHeight="true" outlineLevel="0" collapsed="false">
      <c r="A56" s="1"/>
      <c r="B56" s="37"/>
      <c r="C56" s="22"/>
      <c r="D56" s="22"/>
      <c r="E56" s="19"/>
      <c r="F56" s="2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21" hidden="false" customHeight="true" outlineLevel="0" collapsed="false">
      <c r="A57" s="1"/>
      <c r="B57" s="34"/>
      <c r="C57" s="35"/>
      <c r="D57" s="35"/>
      <c r="E57" s="36"/>
      <c r="F57" s="3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21" hidden="false" customHeight="true" outlineLevel="0" collapsed="false">
      <c r="A58" s="1"/>
      <c r="B58" s="37"/>
      <c r="C58" s="22"/>
      <c r="D58" s="22"/>
      <c r="E58" s="19"/>
      <c r="F58" s="2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21" hidden="false" customHeight="true" outlineLevel="0" collapsed="false">
      <c r="A59" s="1"/>
      <c r="B59" s="34"/>
      <c r="C59" s="35"/>
      <c r="D59" s="35"/>
      <c r="E59" s="36"/>
      <c r="F59" s="35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21" hidden="false" customHeight="true" outlineLevel="0" collapsed="false">
      <c r="A60" s="1"/>
      <c r="B60" s="37"/>
      <c r="C60" s="22"/>
      <c r="D60" s="22"/>
      <c r="E60" s="19"/>
      <c r="F60" s="2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customFormat="false" ht="21" hidden="false" customHeight="true" outlineLevel="0" collapsed="false">
      <c r="A61" s="1"/>
      <c r="B61" s="34"/>
      <c r="C61" s="35"/>
      <c r="D61" s="35"/>
      <c r="E61" s="36"/>
      <c r="F61" s="3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customFormat="false" ht="21" hidden="false" customHeight="true" outlineLevel="0" collapsed="false">
      <c r="A62" s="1"/>
      <c r="B62" s="37"/>
      <c r="C62" s="22"/>
      <c r="D62" s="22"/>
      <c r="E62" s="19"/>
      <c r="F62" s="2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customFormat="false" ht="21" hidden="false" customHeight="true" outlineLevel="0" collapsed="false">
      <c r="A63" s="1"/>
      <c r="B63" s="34"/>
      <c r="C63" s="35"/>
      <c r="D63" s="35"/>
      <c r="E63" s="36"/>
      <c r="F63" s="3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customFormat="false" ht="21" hidden="false" customHeight="true" outlineLevel="0" collapsed="false">
      <c r="A64" s="1"/>
      <c r="B64" s="37"/>
      <c r="C64" s="22"/>
      <c r="D64" s="22"/>
      <c r="E64" s="19"/>
      <c r="F64" s="2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customFormat="false" ht="21" hidden="false" customHeight="true" outlineLevel="0" collapsed="false">
      <c r="A65" s="1"/>
      <c r="B65" s="34"/>
      <c r="C65" s="35"/>
      <c r="D65" s="35"/>
      <c r="E65" s="36"/>
      <c r="F65" s="3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customFormat="false" ht="21" hidden="false" customHeight="true" outlineLevel="0" collapsed="false">
      <c r="A66" s="1"/>
      <c r="B66" s="37"/>
      <c r="C66" s="22"/>
      <c r="D66" s="22"/>
      <c r="E66" s="19"/>
      <c r="F66" s="2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customFormat="false" ht="21" hidden="false" customHeight="true" outlineLevel="0" collapsed="false">
      <c r="A67" s="1"/>
      <c r="B67" s="34"/>
      <c r="C67" s="35"/>
      <c r="D67" s="35"/>
      <c r="E67" s="36"/>
      <c r="F67" s="3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customFormat="false" ht="21" hidden="false" customHeight="true" outlineLevel="0" collapsed="false">
      <c r="A68" s="1"/>
      <c r="B68" s="37"/>
      <c r="C68" s="22"/>
      <c r="D68" s="22"/>
      <c r="E68" s="19"/>
      <c r="F68" s="2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customFormat="false" ht="21" hidden="false" customHeight="true" outlineLevel="0" collapsed="false">
      <c r="A69" s="1"/>
      <c r="B69" s="34"/>
      <c r="C69" s="35"/>
      <c r="D69" s="35"/>
      <c r="E69" s="36"/>
      <c r="F69" s="3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customFormat="false" ht="21" hidden="false" customHeight="true" outlineLevel="0" collapsed="false">
      <c r="A70" s="1"/>
      <c r="B70" s="37"/>
      <c r="C70" s="22"/>
      <c r="D70" s="22"/>
      <c r="E70" s="19"/>
      <c r="F70" s="2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customFormat="false" ht="21" hidden="false" customHeight="true" outlineLevel="0" collapsed="false">
      <c r="A71" s="1"/>
      <c r="B71" s="34"/>
      <c r="C71" s="35"/>
      <c r="D71" s="35"/>
      <c r="E71" s="36"/>
      <c r="F71" s="3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customFormat="false" ht="21" hidden="false" customHeight="true" outlineLevel="0" collapsed="false">
      <c r="A72" s="1"/>
      <c r="B72" s="37"/>
      <c r="C72" s="22"/>
      <c r="D72" s="22"/>
      <c r="E72" s="19"/>
      <c r="F72" s="2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customFormat="false" ht="21" hidden="false" customHeight="true" outlineLevel="0" collapsed="false">
      <c r="A73" s="1"/>
      <c r="B73" s="34"/>
      <c r="C73" s="35"/>
      <c r="D73" s="35"/>
      <c r="E73" s="36"/>
      <c r="F73" s="3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customFormat="false" ht="21" hidden="false" customHeight="true" outlineLevel="0" collapsed="false">
      <c r="A74" s="1"/>
      <c r="B74" s="37"/>
      <c r="C74" s="22"/>
      <c r="D74" s="22"/>
      <c r="E74" s="19"/>
      <c r="F74" s="2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customFormat="false" ht="21" hidden="false" customHeight="true" outlineLevel="0" collapsed="false">
      <c r="A75" s="1"/>
      <c r="B75" s="34"/>
      <c r="C75" s="35"/>
      <c r="D75" s="35"/>
      <c r="E75" s="36"/>
      <c r="F75" s="3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customFormat="false" ht="21" hidden="false" customHeight="true" outlineLevel="0" collapsed="false">
      <c r="A76" s="1"/>
      <c r="B76" s="37"/>
      <c r="C76" s="22"/>
      <c r="D76" s="22"/>
      <c r="E76" s="19"/>
      <c r="F76" s="2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customFormat="false" ht="21" hidden="false" customHeight="true" outlineLevel="0" collapsed="false">
      <c r="A77" s="1"/>
      <c r="B77" s="34"/>
      <c r="C77" s="35"/>
      <c r="D77" s="35"/>
      <c r="E77" s="36"/>
      <c r="F77" s="3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customFormat="false" ht="21" hidden="false" customHeight="true" outlineLevel="0" collapsed="false">
      <c r="A78" s="1"/>
      <c r="B78" s="37"/>
      <c r="C78" s="22"/>
      <c r="D78" s="22"/>
      <c r="E78" s="19"/>
      <c r="F78" s="2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customFormat="false" ht="21" hidden="false" customHeight="true" outlineLevel="0" collapsed="false">
      <c r="A79" s="1"/>
      <c r="B79" s="34"/>
      <c r="C79" s="35"/>
      <c r="D79" s="35"/>
      <c r="E79" s="36"/>
      <c r="F79" s="3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customFormat="false" ht="21" hidden="false" customHeight="true" outlineLevel="0" collapsed="false">
      <c r="A80" s="1"/>
      <c r="B80" s="37"/>
      <c r="C80" s="22"/>
      <c r="D80" s="22"/>
      <c r="E80" s="19"/>
      <c r="F80" s="2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customFormat="false" ht="21" hidden="false" customHeight="true" outlineLevel="0" collapsed="false">
      <c r="A81" s="1"/>
      <c r="B81" s="34"/>
      <c r="C81" s="35"/>
      <c r="D81" s="35"/>
      <c r="E81" s="36"/>
      <c r="F81" s="3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customFormat="false" ht="21" hidden="false" customHeight="true" outlineLevel="0" collapsed="false">
      <c r="A82" s="1"/>
      <c r="B82" s="37"/>
      <c r="C82" s="22"/>
      <c r="D82" s="22"/>
      <c r="E82" s="19"/>
      <c r="F82" s="2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customFormat="false" ht="21" hidden="false" customHeight="true" outlineLevel="0" collapsed="false">
      <c r="A83" s="1"/>
      <c r="B83" s="34"/>
      <c r="C83" s="35"/>
      <c r="D83" s="35"/>
      <c r="E83" s="36"/>
      <c r="F83" s="3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customFormat="false" ht="21" hidden="false" customHeight="true" outlineLevel="0" collapsed="false">
      <c r="A84" s="1"/>
      <c r="B84" s="37"/>
      <c r="C84" s="22"/>
      <c r="D84" s="22"/>
      <c r="E84" s="19"/>
      <c r="F84" s="2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customFormat="false" ht="21" hidden="false" customHeight="true" outlineLevel="0" collapsed="false">
      <c r="A85" s="1"/>
      <c r="B85" s="34"/>
      <c r="C85" s="35"/>
      <c r="D85" s="35"/>
      <c r="E85" s="36"/>
      <c r="F85" s="3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customFormat="false" ht="21" hidden="false" customHeight="true" outlineLevel="0" collapsed="false">
      <c r="A86" s="1"/>
      <c r="B86" s="37"/>
      <c r="C86" s="22"/>
      <c r="D86" s="22"/>
      <c r="E86" s="19"/>
      <c r="F86" s="2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customFormat="false" ht="21" hidden="false" customHeight="true" outlineLevel="0" collapsed="false">
      <c r="A87" s="1"/>
      <c r="B87" s="34"/>
      <c r="C87" s="35"/>
      <c r="D87" s="35"/>
      <c r="E87" s="36"/>
      <c r="F87" s="3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customFormat="false" ht="21" hidden="false" customHeight="true" outlineLevel="0" collapsed="false">
      <c r="A88" s="1"/>
      <c r="B88" s="37"/>
      <c r="C88" s="22"/>
      <c r="D88" s="22"/>
      <c r="E88" s="19"/>
      <c r="F88" s="2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customFormat="false" ht="21" hidden="false" customHeight="true" outlineLevel="0" collapsed="false">
      <c r="A89" s="1"/>
      <c r="B89" s="34"/>
      <c r="C89" s="35"/>
      <c r="D89" s="35"/>
      <c r="E89" s="36"/>
      <c r="F89" s="3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customFormat="false" ht="21" hidden="false" customHeight="true" outlineLevel="0" collapsed="false">
      <c r="A90" s="1"/>
      <c r="B90" s="37"/>
      <c r="C90" s="22"/>
      <c r="D90" s="22"/>
      <c r="E90" s="19"/>
      <c r="F90" s="2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customFormat="false" ht="21" hidden="false" customHeight="true" outlineLevel="0" collapsed="false">
      <c r="A91" s="1"/>
      <c r="B91" s="34"/>
      <c r="C91" s="35"/>
      <c r="D91" s="35"/>
      <c r="E91" s="36"/>
      <c r="F91" s="3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customFormat="false" ht="21" hidden="false" customHeight="true" outlineLevel="0" collapsed="false">
      <c r="A92" s="1"/>
      <c r="B92" s="37"/>
      <c r="C92" s="22"/>
      <c r="D92" s="22"/>
      <c r="E92" s="19"/>
      <c r="F92" s="2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customFormat="false" ht="21" hidden="false" customHeight="true" outlineLevel="0" collapsed="false">
      <c r="A93" s="1"/>
      <c r="B93" s="34"/>
      <c r="C93" s="35"/>
      <c r="D93" s="35"/>
      <c r="E93" s="36"/>
      <c r="F93" s="3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customFormat="false" ht="21" hidden="false" customHeight="true" outlineLevel="0" collapsed="false">
      <c r="A94" s="1"/>
      <c r="B94" s="37"/>
      <c r="C94" s="22"/>
      <c r="D94" s="22"/>
      <c r="E94" s="19"/>
      <c r="F94" s="2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customFormat="false" ht="21" hidden="false" customHeight="true" outlineLevel="0" collapsed="false">
      <c r="A95" s="1"/>
      <c r="B95" s="34"/>
      <c r="C95" s="35"/>
      <c r="D95" s="35"/>
      <c r="E95" s="36"/>
      <c r="F95" s="3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customFormat="false" ht="21" hidden="false" customHeight="true" outlineLevel="0" collapsed="false">
      <c r="A96" s="1"/>
      <c r="B96" s="37"/>
      <c r="C96" s="22"/>
      <c r="D96" s="22"/>
      <c r="E96" s="19"/>
      <c r="F96" s="2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customFormat="false" ht="21" hidden="false" customHeight="true" outlineLevel="0" collapsed="false">
      <c r="A97" s="1"/>
      <c r="B97" s="34"/>
      <c r="C97" s="35"/>
      <c r="D97" s="35"/>
      <c r="E97" s="36"/>
      <c r="F97" s="3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customFormat="false" ht="21" hidden="false" customHeight="true" outlineLevel="0" collapsed="false">
      <c r="A98" s="1"/>
      <c r="B98" s="37"/>
      <c r="C98" s="22"/>
      <c r="D98" s="22"/>
      <c r="E98" s="19"/>
      <c r="F98" s="2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customFormat="false" ht="21" hidden="false" customHeight="true" outlineLevel="0" collapsed="false">
      <c r="A99" s="1"/>
      <c r="B99" s="34"/>
      <c r="C99" s="35"/>
      <c r="D99" s="35"/>
      <c r="E99" s="36"/>
      <c r="F99" s="3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customFormat="false" ht="21" hidden="false" customHeight="true" outlineLevel="0" collapsed="false">
      <c r="A100" s="1"/>
      <c r="B100" s="37"/>
      <c r="C100" s="22"/>
      <c r="D100" s="22"/>
      <c r="E100" s="19"/>
      <c r="F100" s="2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customFormat="false" ht="21" hidden="false" customHeight="true" outlineLevel="0" collapsed="false">
      <c r="A101" s="1"/>
      <c r="B101" s="34"/>
      <c r="C101" s="35"/>
      <c r="D101" s="35"/>
      <c r="E101" s="36"/>
      <c r="F101" s="3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customFormat="false" ht="21" hidden="false" customHeight="true" outlineLevel="0" collapsed="false">
      <c r="A102" s="1"/>
      <c r="B102" s="37"/>
      <c r="C102" s="22"/>
      <c r="D102" s="22"/>
      <c r="E102" s="19"/>
      <c r="F102" s="2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customFormat="false" ht="21" hidden="false" customHeight="true" outlineLevel="0" collapsed="false">
      <c r="A103" s="1"/>
      <c r="B103" s="34"/>
      <c r="C103" s="35"/>
      <c r="D103" s="35"/>
      <c r="E103" s="36"/>
      <c r="F103" s="3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customFormat="false" ht="21" hidden="false" customHeight="true" outlineLevel="0" collapsed="false">
      <c r="A104" s="1"/>
      <c r="B104" s="37"/>
      <c r="C104" s="22"/>
      <c r="D104" s="22"/>
      <c r="E104" s="19"/>
      <c r="F104" s="2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customFormat="false" ht="21" hidden="false" customHeight="true" outlineLevel="0" collapsed="false">
      <c r="A105" s="1"/>
      <c r="B105" s="34"/>
      <c r="C105" s="35"/>
      <c r="D105" s="35"/>
      <c r="E105" s="36"/>
      <c r="F105" s="3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customFormat="false" ht="21" hidden="false" customHeight="true" outlineLevel="0" collapsed="false">
      <c r="A106" s="1"/>
      <c r="B106" s="37"/>
      <c r="C106" s="22"/>
      <c r="D106" s="22"/>
      <c r="E106" s="19"/>
      <c r="F106" s="2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customFormat="false" ht="21" hidden="false" customHeight="true" outlineLevel="0" collapsed="false">
      <c r="A107" s="1"/>
      <c r="B107" s="34"/>
      <c r="C107" s="35"/>
      <c r="D107" s="35"/>
      <c r="E107" s="36"/>
      <c r="F107" s="3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customFormat="false" ht="21" hidden="false" customHeight="true" outlineLevel="0" collapsed="false">
      <c r="A108" s="1"/>
      <c r="B108" s="37"/>
      <c r="C108" s="22"/>
      <c r="D108" s="22"/>
      <c r="E108" s="19"/>
      <c r="F108" s="2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customFormat="false" ht="21" hidden="false" customHeight="true" outlineLevel="0" collapsed="false">
      <c r="A109" s="1"/>
      <c r="B109" s="34"/>
      <c r="C109" s="35"/>
      <c r="D109" s="35"/>
      <c r="E109" s="36"/>
      <c r="F109" s="3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customFormat="false" ht="21" hidden="false" customHeight="true" outlineLevel="0" collapsed="false">
      <c r="A110" s="1"/>
      <c r="B110" s="37"/>
      <c r="C110" s="22"/>
      <c r="D110" s="22"/>
      <c r="E110" s="19"/>
      <c r="F110" s="2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customFormat="false" ht="21" hidden="false" customHeight="true" outlineLevel="0" collapsed="false">
      <c r="A111" s="1"/>
      <c r="B111" s="34"/>
      <c r="C111" s="35"/>
      <c r="D111" s="35"/>
      <c r="E111" s="36"/>
      <c r="F111" s="3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customFormat="false" ht="21" hidden="false" customHeight="true" outlineLevel="0" collapsed="false">
      <c r="A112" s="1"/>
      <c r="B112" s="37"/>
      <c r="C112" s="22"/>
      <c r="D112" s="22"/>
      <c r="E112" s="19"/>
      <c r="F112" s="2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customFormat="false" ht="21" hidden="false" customHeight="true" outlineLevel="0" collapsed="false">
      <c r="A113" s="1"/>
      <c r="B113" s="34"/>
      <c r="C113" s="35"/>
      <c r="D113" s="35"/>
      <c r="E113" s="36"/>
      <c r="F113" s="3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customFormat="false" ht="21" hidden="false" customHeight="true" outlineLevel="0" collapsed="false">
      <c r="A114" s="1"/>
      <c r="B114" s="37"/>
      <c r="C114" s="22"/>
      <c r="D114" s="22"/>
      <c r="E114" s="19"/>
      <c r="F114" s="2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customFormat="false" ht="21" hidden="false" customHeight="true" outlineLevel="0" collapsed="false">
      <c r="A115" s="1"/>
      <c r="B115" s="34"/>
      <c r="C115" s="35"/>
      <c r="D115" s="35"/>
      <c r="E115" s="36"/>
      <c r="F115" s="3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customFormat="false" ht="21" hidden="false" customHeight="true" outlineLevel="0" collapsed="false">
      <c r="A116" s="1"/>
      <c r="B116" s="37"/>
      <c r="C116" s="22"/>
      <c r="D116" s="22"/>
      <c r="E116" s="19"/>
      <c r="F116" s="2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customFormat="false" ht="21" hidden="false" customHeight="true" outlineLevel="0" collapsed="false">
      <c r="A117" s="1"/>
      <c r="B117" s="34"/>
      <c r="C117" s="35"/>
      <c r="D117" s="35"/>
      <c r="E117" s="36"/>
      <c r="F117" s="3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customFormat="false" ht="21" hidden="false" customHeight="true" outlineLevel="0" collapsed="false">
      <c r="A118" s="1"/>
      <c r="B118" s="37"/>
      <c r="C118" s="22"/>
      <c r="D118" s="22"/>
      <c r="E118" s="19"/>
      <c r="F118" s="2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customFormat="false" ht="21" hidden="false" customHeight="true" outlineLevel="0" collapsed="false">
      <c r="A119" s="1"/>
      <c r="B119" s="34"/>
      <c r="C119" s="35"/>
      <c r="D119" s="35"/>
      <c r="E119" s="36"/>
      <c r="F119" s="3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customFormat="false" ht="21" hidden="false" customHeight="true" outlineLevel="0" collapsed="false">
      <c r="A120" s="1"/>
      <c r="B120" s="37"/>
      <c r="C120" s="22"/>
      <c r="D120" s="22"/>
      <c r="E120" s="19"/>
      <c r="F120" s="2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customFormat="false" ht="21" hidden="false" customHeight="true" outlineLevel="0" collapsed="false">
      <c r="A121" s="1"/>
      <c r="B121" s="34"/>
      <c r="C121" s="35"/>
      <c r="D121" s="35"/>
      <c r="E121" s="36"/>
      <c r="F121" s="3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customFormat="false" ht="21" hidden="false" customHeight="true" outlineLevel="0" collapsed="false">
      <c r="A122" s="1"/>
      <c r="B122" s="37"/>
      <c r="C122" s="22"/>
      <c r="D122" s="22"/>
      <c r="E122" s="19"/>
      <c r="F122" s="2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customFormat="false" ht="21" hidden="false" customHeight="true" outlineLevel="0" collapsed="false">
      <c r="A123" s="1"/>
      <c r="B123" s="34"/>
      <c r="C123" s="35"/>
      <c r="D123" s="35"/>
      <c r="E123" s="36"/>
      <c r="F123" s="3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customFormat="false" ht="21" hidden="false" customHeight="true" outlineLevel="0" collapsed="false">
      <c r="A124" s="1"/>
      <c r="B124" s="37"/>
      <c r="C124" s="22"/>
      <c r="D124" s="22"/>
      <c r="E124" s="19"/>
      <c r="F124" s="2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customFormat="false" ht="21" hidden="false" customHeight="true" outlineLevel="0" collapsed="false">
      <c r="A125" s="1"/>
      <c r="B125" s="34"/>
      <c r="C125" s="35"/>
      <c r="D125" s="35"/>
      <c r="E125" s="36"/>
      <c r="F125" s="3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customFormat="false" ht="21" hidden="false" customHeight="true" outlineLevel="0" collapsed="false">
      <c r="A126" s="1"/>
      <c r="B126" s="37"/>
      <c r="C126" s="22"/>
      <c r="D126" s="22"/>
      <c r="E126" s="19"/>
      <c r="F126" s="2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customFormat="false" ht="21" hidden="false" customHeight="true" outlineLevel="0" collapsed="false">
      <c r="A127" s="1"/>
      <c r="B127" s="34"/>
      <c r="C127" s="35"/>
      <c r="D127" s="35"/>
      <c r="E127" s="36"/>
      <c r="F127" s="3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customFormat="false" ht="21" hidden="false" customHeight="true" outlineLevel="0" collapsed="false">
      <c r="A128" s="1"/>
      <c r="B128" s="37"/>
      <c r="C128" s="22"/>
      <c r="D128" s="22"/>
      <c r="E128" s="19"/>
      <c r="F128" s="2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customFormat="false" ht="21" hidden="false" customHeight="true" outlineLevel="0" collapsed="false">
      <c r="A129" s="1"/>
      <c r="B129" s="34"/>
      <c r="C129" s="35"/>
      <c r="D129" s="35"/>
      <c r="E129" s="36"/>
      <c r="F129" s="3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customFormat="false" ht="21" hidden="false" customHeight="true" outlineLevel="0" collapsed="false">
      <c r="A130" s="1"/>
      <c r="B130" s="37"/>
      <c r="C130" s="22"/>
      <c r="D130" s="22"/>
      <c r="E130" s="19"/>
      <c r="F130" s="2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customFormat="false" ht="21" hidden="false" customHeight="true" outlineLevel="0" collapsed="false">
      <c r="A131" s="1"/>
      <c r="B131" s="34"/>
      <c r="C131" s="35"/>
      <c r="D131" s="35"/>
      <c r="E131" s="36"/>
      <c r="F131" s="3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customFormat="false" ht="21" hidden="false" customHeight="true" outlineLevel="0" collapsed="false">
      <c r="A132" s="1"/>
      <c r="B132" s="37"/>
      <c r="C132" s="22"/>
      <c r="D132" s="22"/>
      <c r="E132" s="19"/>
      <c r="F132" s="2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customFormat="false" ht="21" hidden="false" customHeight="true" outlineLevel="0" collapsed="false">
      <c r="A133" s="1"/>
      <c r="B133" s="34"/>
      <c r="C133" s="35"/>
      <c r="D133" s="35"/>
      <c r="E133" s="36"/>
      <c r="F133" s="3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customFormat="false" ht="21" hidden="false" customHeight="true" outlineLevel="0" collapsed="false">
      <c r="A134" s="1"/>
      <c r="B134" s="37"/>
      <c r="C134" s="22"/>
      <c r="D134" s="22"/>
      <c r="E134" s="19"/>
      <c r="F134" s="2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customFormat="false" ht="21" hidden="false" customHeight="true" outlineLevel="0" collapsed="false">
      <c r="A135" s="1"/>
      <c r="B135" s="34"/>
      <c r="C135" s="35"/>
      <c r="D135" s="35"/>
      <c r="E135" s="36"/>
      <c r="F135" s="3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customFormat="false" ht="21" hidden="false" customHeight="true" outlineLevel="0" collapsed="false">
      <c r="A136" s="1"/>
      <c r="B136" s="37"/>
      <c r="C136" s="22"/>
      <c r="D136" s="22"/>
      <c r="E136" s="19"/>
      <c r="F136" s="2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customFormat="false" ht="21" hidden="false" customHeight="true" outlineLevel="0" collapsed="false">
      <c r="A137" s="1"/>
      <c r="B137" s="34"/>
      <c r="C137" s="35"/>
      <c r="D137" s="35"/>
      <c r="E137" s="36"/>
      <c r="F137" s="3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customFormat="false" ht="21" hidden="false" customHeight="true" outlineLevel="0" collapsed="false">
      <c r="A138" s="1"/>
      <c r="B138" s="37"/>
      <c r="C138" s="22"/>
      <c r="D138" s="22"/>
      <c r="E138" s="19"/>
      <c r="F138" s="2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customFormat="false" ht="21" hidden="false" customHeight="true" outlineLevel="0" collapsed="false">
      <c r="A139" s="1"/>
      <c r="B139" s="34"/>
      <c r="C139" s="35"/>
      <c r="D139" s="35"/>
      <c r="E139" s="36"/>
      <c r="F139" s="3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customFormat="false" ht="21" hidden="false" customHeight="true" outlineLevel="0" collapsed="false">
      <c r="A140" s="1"/>
      <c r="B140" s="37"/>
      <c r="C140" s="22"/>
      <c r="D140" s="22"/>
      <c r="E140" s="19"/>
      <c r="F140" s="2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customFormat="false" ht="21" hidden="false" customHeight="true" outlineLevel="0" collapsed="false">
      <c r="A141" s="1"/>
      <c r="B141" s="34"/>
      <c r="C141" s="35"/>
      <c r="D141" s="35"/>
      <c r="E141" s="36"/>
      <c r="F141" s="3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customFormat="false" ht="21" hidden="false" customHeight="true" outlineLevel="0" collapsed="false">
      <c r="A142" s="1"/>
      <c r="B142" s="37"/>
      <c r="C142" s="22"/>
      <c r="D142" s="22"/>
      <c r="E142" s="19"/>
      <c r="F142" s="2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customFormat="false" ht="21" hidden="false" customHeight="true" outlineLevel="0" collapsed="false">
      <c r="A143" s="1"/>
      <c r="B143" s="34"/>
      <c r="C143" s="35"/>
      <c r="D143" s="35"/>
      <c r="E143" s="36"/>
      <c r="F143" s="3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customFormat="false" ht="21" hidden="false" customHeight="true" outlineLevel="0" collapsed="false">
      <c r="A144" s="1"/>
      <c r="B144" s="37"/>
      <c r="C144" s="22"/>
      <c r="D144" s="22"/>
      <c r="E144" s="19"/>
      <c r="F144" s="2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customFormat="false" ht="21" hidden="false" customHeight="true" outlineLevel="0" collapsed="false">
      <c r="A145" s="1"/>
      <c r="B145" s="34"/>
      <c r="C145" s="35"/>
      <c r="D145" s="35"/>
      <c r="E145" s="36"/>
      <c r="F145" s="3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customFormat="false" ht="21" hidden="false" customHeight="true" outlineLevel="0" collapsed="false">
      <c r="A146" s="1"/>
      <c r="B146" s="37"/>
      <c r="C146" s="22"/>
      <c r="D146" s="22"/>
      <c r="E146" s="19"/>
      <c r="F146" s="2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customFormat="false" ht="21" hidden="false" customHeight="true" outlineLevel="0" collapsed="false">
      <c r="A147" s="1"/>
      <c r="B147" s="34"/>
      <c r="C147" s="35"/>
      <c r="D147" s="35"/>
      <c r="E147" s="36"/>
      <c r="F147" s="3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customFormat="false" ht="21" hidden="false" customHeight="true" outlineLevel="0" collapsed="false">
      <c r="A148" s="1"/>
      <c r="B148" s="37"/>
      <c r="C148" s="22"/>
      <c r="D148" s="22"/>
      <c r="E148" s="19"/>
      <c r="F148" s="2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customFormat="false" ht="21" hidden="false" customHeight="true" outlineLevel="0" collapsed="false">
      <c r="A149" s="1"/>
      <c r="B149" s="34"/>
      <c r="C149" s="35"/>
      <c r="D149" s="35"/>
      <c r="E149" s="36"/>
      <c r="F149" s="3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customFormat="false" ht="21" hidden="false" customHeight="true" outlineLevel="0" collapsed="false">
      <c r="A150" s="1"/>
      <c r="B150" s="37"/>
      <c r="C150" s="22"/>
      <c r="D150" s="22"/>
      <c r="E150" s="19"/>
      <c r="F150" s="2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customFormat="false" ht="21" hidden="false" customHeight="true" outlineLevel="0" collapsed="false">
      <c r="A151" s="1"/>
      <c r="B151" s="34"/>
      <c r="C151" s="35"/>
      <c r="D151" s="35"/>
      <c r="E151" s="36"/>
      <c r="F151" s="3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customFormat="false" ht="21" hidden="false" customHeight="true" outlineLevel="0" collapsed="false">
      <c r="A152" s="1"/>
      <c r="B152" s="37"/>
      <c r="C152" s="22"/>
      <c r="D152" s="22"/>
      <c r="E152" s="19"/>
      <c r="F152" s="2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customFormat="false" ht="21" hidden="false" customHeight="true" outlineLevel="0" collapsed="false">
      <c r="A153" s="1"/>
      <c r="B153" s="34"/>
      <c r="C153" s="35"/>
      <c r="D153" s="35"/>
      <c r="E153" s="36"/>
      <c r="F153" s="3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customFormat="false" ht="21" hidden="false" customHeight="true" outlineLevel="0" collapsed="false">
      <c r="A154" s="1"/>
      <c r="B154" s="37"/>
      <c r="C154" s="22"/>
      <c r="D154" s="22"/>
      <c r="E154" s="19"/>
      <c r="F154" s="2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customFormat="false" ht="21" hidden="false" customHeight="true" outlineLevel="0" collapsed="false">
      <c r="A155" s="1"/>
      <c r="B155" s="34"/>
      <c r="C155" s="35"/>
      <c r="D155" s="35"/>
      <c r="E155" s="36"/>
      <c r="F155" s="3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customFormat="false" ht="21" hidden="false" customHeight="true" outlineLevel="0" collapsed="false">
      <c r="A156" s="1"/>
      <c r="B156" s="37"/>
      <c r="C156" s="22"/>
      <c r="D156" s="22"/>
      <c r="E156" s="19"/>
      <c r="F156" s="2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customFormat="false" ht="21" hidden="false" customHeight="true" outlineLevel="0" collapsed="false">
      <c r="A157" s="1"/>
      <c r="B157" s="34"/>
      <c r="C157" s="35"/>
      <c r="D157" s="35"/>
      <c r="E157" s="36"/>
      <c r="F157" s="3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customFormat="false" ht="21" hidden="false" customHeight="true" outlineLevel="0" collapsed="false">
      <c r="A158" s="1"/>
      <c r="B158" s="37"/>
      <c r="C158" s="22"/>
      <c r="D158" s="22"/>
      <c r="E158" s="19"/>
      <c r="F158" s="2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customFormat="false" ht="21" hidden="false" customHeight="true" outlineLevel="0" collapsed="false">
      <c r="A159" s="1"/>
      <c r="B159" s="34"/>
      <c r="C159" s="35"/>
      <c r="D159" s="35"/>
      <c r="E159" s="36"/>
      <c r="F159" s="3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customFormat="false" ht="21" hidden="false" customHeight="true" outlineLevel="0" collapsed="false">
      <c r="A160" s="1"/>
      <c r="B160" s="37"/>
      <c r="C160" s="22"/>
      <c r="D160" s="22"/>
      <c r="E160" s="19"/>
      <c r="F160" s="2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customFormat="false" ht="21" hidden="false" customHeight="true" outlineLevel="0" collapsed="false">
      <c r="A161" s="1"/>
      <c r="B161" s="34"/>
      <c r="C161" s="35"/>
      <c r="D161" s="35"/>
      <c r="E161" s="36"/>
      <c r="F161" s="3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customFormat="false" ht="21" hidden="false" customHeight="true" outlineLevel="0" collapsed="false">
      <c r="A162" s="1"/>
      <c r="B162" s="37"/>
      <c r="C162" s="22"/>
      <c r="D162" s="22"/>
      <c r="E162" s="19"/>
      <c r="F162" s="2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customFormat="false" ht="21" hidden="false" customHeight="true" outlineLevel="0" collapsed="false">
      <c r="A163" s="1"/>
      <c r="B163" s="34"/>
      <c r="C163" s="35"/>
      <c r="D163" s="35"/>
      <c r="E163" s="36"/>
      <c r="F163" s="3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customFormat="false" ht="21" hidden="false" customHeight="true" outlineLevel="0" collapsed="false">
      <c r="A164" s="1"/>
      <c r="B164" s="37"/>
      <c r="C164" s="22"/>
      <c r="D164" s="22"/>
      <c r="E164" s="19"/>
      <c r="F164" s="2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customFormat="false" ht="21" hidden="false" customHeight="true" outlineLevel="0" collapsed="false">
      <c r="A165" s="1"/>
      <c r="B165" s="34"/>
      <c r="C165" s="35"/>
      <c r="D165" s="35"/>
      <c r="E165" s="36"/>
      <c r="F165" s="3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customFormat="false" ht="21" hidden="false" customHeight="true" outlineLevel="0" collapsed="false">
      <c r="A166" s="1"/>
      <c r="B166" s="37"/>
      <c r="C166" s="22"/>
      <c r="D166" s="22"/>
      <c r="E166" s="19"/>
      <c r="F166" s="2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customFormat="false" ht="21" hidden="false" customHeight="true" outlineLevel="0" collapsed="false">
      <c r="A167" s="1"/>
      <c r="B167" s="34"/>
      <c r="C167" s="35"/>
      <c r="D167" s="35"/>
      <c r="E167" s="36"/>
      <c r="F167" s="3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customFormat="false" ht="21" hidden="false" customHeight="true" outlineLevel="0" collapsed="false">
      <c r="A168" s="1"/>
      <c r="B168" s="37"/>
      <c r="C168" s="22"/>
      <c r="D168" s="22"/>
      <c r="E168" s="19"/>
      <c r="F168" s="2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customFormat="false" ht="21" hidden="false" customHeight="true" outlineLevel="0" collapsed="false">
      <c r="A169" s="1"/>
      <c r="B169" s="34"/>
      <c r="C169" s="35"/>
      <c r="D169" s="35"/>
      <c r="E169" s="36"/>
      <c r="F169" s="3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customFormat="false" ht="21" hidden="false" customHeight="true" outlineLevel="0" collapsed="false">
      <c r="A170" s="1"/>
      <c r="B170" s="37"/>
      <c r="C170" s="22"/>
      <c r="D170" s="22"/>
      <c r="E170" s="19"/>
      <c r="F170" s="2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customFormat="false" ht="21" hidden="false" customHeight="true" outlineLevel="0" collapsed="false">
      <c r="A171" s="1"/>
      <c r="B171" s="34"/>
      <c r="C171" s="35"/>
      <c r="D171" s="35"/>
      <c r="E171" s="36"/>
      <c r="F171" s="3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customFormat="false" ht="21" hidden="false" customHeight="true" outlineLevel="0" collapsed="false">
      <c r="A172" s="1"/>
      <c r="B172" s="37"/>
      <c r="C172" s="22"/>
      <c r="D172" s="22"/>
      <c r="E172" s="19"/>
      <c r="F172" s="2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customFormat="false" ht="21" hidden="false" customHeight="true" outlineLevel="0" collapsed="false">
      <c r="A173" s="1"/>
      <c r="B173" s="34"/>
      <c r="C173" s="35"/>
      <c r="D173" s="35"/>
      <c r="E173" s="36"/>
      <c r="F173" s="3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customFormat="false" ht="21" hidden="false" customHeight="true" outlineLevel="0" collapsed="false">
      <c r="A174" s="1"/>
      <c r="B174" s="37"/>
      <c r="C174" s="22"/>
      <c r="D174" s="22"/>
      <c r="E174" s="19"/>
      <c r="F174" s="2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customFormat="false" ht="21" hidden="false" customHeight="true" outlineLevel="0" collapsed="false">
      <c r="A175" s="1"/>
      <c r="B175" s="34"/>
      <c r="C175" s="35"/>
      <c r="D175" s="35"/>
      <c r="E175" s="36"/>
      <c r="F175" s="3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customFormat="false" ht="21" hidden="false" customHeight="true" outlineLevel="0" collapsed="false">
      <c r="A176" s="1"/>
      <c r="B176" s="37"/>
      <c r="C176" s="22"/>
      <c r="D176" s="22"/>
      <c r="E176" s="19"/>
      <c r="F176" s="2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customFormat="false" ht="21" hidden="false" customHeight="true" outlineLevel="0" collapsed="false">
      <c r="A177" s="1"/>
      <c r="B177" s="34"/>
      <c r="C177" s="35"/>
      <c r="D177" s="35"/>
      <c r="E177" s="36"/>
      <c r="F177" s="3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customFormat="false" ht="21" hidden="false" customHeight="true" outlineLevel="0" collapsed="false">
      <c r="A178" s="1"/>
      <c r="B178" s="37"/>
      <c r="C178" s="22"/>
      <c r="D178" s="22"/>
      <c r="E178" s="19"/>
      <c r="F178" s="2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customFormat="false" ht="21" hidden="false" customHeight="true" outlineLevel="0" collapsed="false">
      <c r="A179" s="1"/>
      <c r="B179" s="34"/>
      <c r="C179" s="35"/>
      <c r="D179" s="35"/>
      <c r="E179" s="36"/>
      <c r="F179" s="3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customFormat="false" ht="21" hidden="false" customHeight="true" outlineLevel="0" collapsed="false">
      <c r="A180" s="1"/>
      <c r="B180" s="37"/>
      <c r="C180" s="22"/>
      <c r="D180" s="22"/>
      <c r="E180" s="19"/>
      <c r="F180" s="2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customFormat="false" ht="21" hidden="false" customHeight="true" outlineLevel="0" collapsed="false">
      <c r="A181" s="1"/>
      <c r="B181" s="34"/>
      <c r="C181" s="35"/>
      <c r="D181" s="35"/>
      <c r="E181" s="36"/>
      <c r="F181" s="3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customFormat="false" ht="21" hidden="false" customHeight="true" outlineLevel="0" collapsed="false">
      <c r="A182" s="1"/>
      <c r="B182" s="37"/>
      <c r="C182" s="22"/>
      <c r="D182" s="22"/>
      <c r="E182" s="19"/>
      <c r="F182" s="2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customFormat="false" ht="21" hidden="false" customHeight="true" outlineLevel="0" collapsed="false">
      <c r="A183" s="1"/>
      <c r="B183" s="34"/>
      <c r="C183" s="35"/>
      <c r="D183" s="35"/>
      <c r="E183" s="36"/>
      <c r="F183" s="3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customFormat="false" ht="21" hidden="false" customHeight="true" outlineLevel="0" collapsed="false">
      <c r="A184" s="1"/>
      <c r="B184" s="37"/>
      <c r="C184" s="22"/>
      <c r="D184" s="22"/>
      <c r="E184" s="19"/>
      <c r="F184" s="2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customFormat="false" ht="21" hidden="false" customHeight="true" outlineLevel="0" collapsed="false">
      <c r="A185" s="1"/>
      <c r="B185" s="34"/>
      <c r="C185" s="35"/>
      <c r="D185" s="35"/>
      <c r="E185" s="36"/>
      <c r="F185" s="3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customFormat="false" ht="21" hidden="false" customHeight="true" outlineLevel="0" collapsed="false">
      <c r="A186" s="1"/>
      <c r="B186" s="37"/>
      <c r="C186" s="22"/>
      <c r="D186" s="22"/>
      <c r="E186" s="19"/>
      <c r="F186" s="2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customFormat="false" ht="21" hidden="false" customHeight="true" outlineLevel="0" collapsed="false">
      <c r="A187" s="1"/>
      <c r="B187" s="34"/>
      <c r="C187" s="35"/>
      <c r="D187" s="35"/>
      <c r="E187" s="36"/>
      <c r="F187" s="3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customFormat="false" ht="21" hidden="false" customHeight="true" outlineLevel="0" collapsed="false">
      <c r="A188" s="1"/>
      <c r="B188" s="37"/>
      <c r="C188" s="22"/>
      <c r="D188" s="22"/>
      <c r="E188" s="19"/>
      <c r="F188" s="2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customFormat="false" ht="21" hidden="false" customHeight="true" outlineLevel="0" collapsed="false">
      <c r="A189" s="1"/>
      <c r="B189" s="34"/>
      <c r="C189" s="35"/>
      <c r="D189" s="35"/>
      <c r="E189" s="36"/>
      <c r="F189" s="3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customFormat="false" ht="21" hidden="false" customHeight="true" outlineLevel="0" collapsed="false">
      <c r="A190" s="1"/>
      <c r="B190" s="37"/>
      <c r="C190" s="22"/>
      <c r="D190" s="22"/>
      <c r="E190" s="19"/>
      <c r="F190" s="2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customFormat="false" ht="21" hidden="false" customHeight="true" outlineLevel="0" collapsed="false">
      <c r="A191" s="1"/>
      <c r="B191" s="34"/>
      <c r="C191" s="35"/>
      <c r="D191" s="35"/>
      <c r="E191" s="36"/>
      <c r="F191" s="3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customFormat="false" ht="21" hidden="false" customHeight="true" outlineLevel="0" collapsed="false">
      <c r="A192" s="1"/>
      <c r="B192" s="37"/>
      <c r="C192" s="22"/>
      <c r="D192" s="22"/>
      <c r="E192" s="19"/>
      <c r="F192" s="2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customFormat="false" ht="21" hidden="false" customHeight="true" outlineLevel="0" collapsed="false">
      <c r="A193" s="1"/>
      <c r="B193" s="34"/>
      <c r="C193" s="35"/>
      <c r="D193" s="35"/>
      <c r="E193" s="36"/>
      <c r="F193" s="3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customFormat="false" ht="21" hidden="false" customHeight="true" outlineLevel="0" collapsed="false">
      <c r="A194" s="1"/>
      <c r="B194" s="37"/>
      <c r="C194" s="22"/>
      <c r="D194" s="22"/>
      <c r="E194" s="19"/>
      <c r="F194" s="2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customFormat="false" ht="21" hidden="false" customHeight="true" outlineLevel="0" collapsed="false">
      <c r="A195" s="1"/>
      <c r="B195" s="34"/>
      <c r="C195" s="35"/>
      <c r="D195" s="35"/>
      <c r="E195" s="36"/>
      <c r="F195" s="3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customFormat="false" ht="21" hidden="false" customHeight="true" outlineLevel="0" collapsed="false">
      <c r="A196" s="1"/>
      <c r="B196" s="37"/>
      <c r="C196" s="22"/>
      <c r="D196" s="22"/>
      <c r="E196" s="19"/>
      <c r="F196" s="2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customFormat="false" ht="21" hidden="false" customHeight="true" outlineLevel="0" collapsed="false">
      <c r="A197" s="1"/>
      <c r="B197" s="34"/>
      <c r="C197" s="35"/>
      <c r="D197" s="35"/>
      <c r="E197" s="36"/>
      <c r="F197" s="3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customFormat="false" ht="21" hidden="false" customHeight="true" outlineLevel="0" collapsed="false">
      <c r="A198" s="1"/>
      <c r="B198" s="37"/>
      <c r="C198" s="22"/>
      <c r="D198" s="22"/>
      <c r="E198" s="19"/>
      <c r="F198" s="2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customFormat="false" ht="21" hidden="false" customHeight="true" outlineLevel="0" collapsed="false">
      <c r="A199" s="1"/>
      <c r="B199" s="34"/>
      <c r="C199" s="35"/>
      <c r="D199" s="35"/>
      <c r="E199" s="36"/>
      <c r="F199" s="3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customFormat="false" ht="21" hidden="false" customHeight="true" outlineLevel="0" collapsed="false">
      <c r="A200" s="1"/>
      <c r="B200" s="37"/>
      <c r="C200" s="22"/>
      <c r="D200" s="22"/>
      <c r="E200" s="19"/>
      <c r="F200" s="2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customFormat="false" ht="21" hidden="false" customHeight="true" outlineLevel="0" collapsed="false">
      <c r="A201" s="1"/>
      <c r="B201" s="34"/>
      <c r="C201" s="35"/>
      <c r="D201" s="35"/>
      <c r="E201" s="36"/>
      <c r="F201" s="3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customFormat="false" ht="21" hidden="false" customHeight="true" outlineLevel="0" collapsed="false">
      <c r="A202" s="1"/>
      <c r="B202" s="37"/>
      <c r="C202" s="22"/>
      <c r="D202" s="22"/>
      <c r="E202" s="19"/>
      <c r="F202" s="2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customFormat="false" ht="21" hidden="false" customHeight="true" outlineLevel="0" collapsed="false">
      <c r="A203" s="1"/>
      <c r="B203" s="34"/>
      <c r="C203" s="35"/>
      <c r="D203" s="35"/>
      <c r="E203" s="36"/>
      <c r="F203" s="3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customFormat="false" ht="21" hidden="false" customHeight="true" outlineLevel="0" collapsed="false">
      <c r="A204" s="1"/>
      <c r="B204" s="37"/>
      <c r="C204" s="22"/>
      <c r="D204" s="22"/>
      <c r="E204" s="19"/>
      <c r="F204" s="2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customFormat="false" ht="21" hidden="false" customHeight="true" outlineLevel="0" collapsed="false">
      <c r="A205" s="1"/>
      <c r="B205" s="34"/>
      <c r="C205" s="35"/>
      <c r="D205" s="35"/>
      <c r="E205" s="36"/>
      <c r="F205" s="3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customFormat="false" ht="21" hidden="false" customHeight="true" outlineLevel="0" collapsed="false">
      <c r="A206" s="1"/>
      <c r="B206" s="37"/>
      <c r="C206" s="22"/>
      <c r="D206" s="22"/>
      <c r="E206" s="19"/>
      <c r="F206" s="2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customFormat="false" ht="21" hidden="false" customHeight="true" outlineLevel="0" collapsed="false">
      <c r="A207" s="1"/>
      <c r="B207" s="34"/>
      <c r="C207" s="35"/>
      <c r="D207" s="35"/>
      <c r="E207" s="36"/>
      <c r="F207" s="3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customFormat="false" ht="21" hidden="false" customHeight="true" outlineLevel="0" collapsed="false">
      <c r="A208" s="1"/>
      <c r="B208" s="37"/>
      <c r="C208" s="22"/>
      <c r="D208" s="22"/>
      <c r="E208" s="19"/>
      <c r="F208" s="2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customFormat="false" ht="21" hidden="false" customHeight="true" outlineLevel="0" collapsed="false">
      <c r="A209" s="1"/>
      <c r="B209" s="34"/>
      <c r="C209" s="35"/>
      <c r="D209" s="35"/>
      <c r="E209" s="36"/>
      <c r="F209" s="3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customFormat="false" ht="21" hidden="false" customHeight="true" outlineLevel="0" collapsed="false">
      <c r="A210" s="1"/>
      <c r="B210" s="37"/>
      <c r="C210" s="22"/>
      <c r="D210" s="22"/>
      <c r="E210" s="19"/>
      <c r="F210" s="2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customFormat="false" ht="21" hidden="false" customHeight="true" outlineLevel="0" collapsed="false">
      <c r="A211" s="1"/>
      <c r="B211" s="34"/>
      <c r="C211" s="35"/>
      <c r="D211" s="35"/>
      <c r="E211" s="36"/>
      <c r="F211" s="3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customFormat="false" ht="21" hidden="false" customHeight="true" outlineLevel="0" collapsed="false">
      <c r="A212" s="1"/>
      <c r="B212" s="37"/>
      <c r="C212" s="22"/>
      <c r="D212" s="22"/>
      <c r="E212" s="19"/>
      <c r="F212" s="2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customFormat="false" ht="21" hidden="false" customHeight="true" outlineLevel="0" collapsed="false">
      <c r="A213" s="1"/>
      <c r="B213" s="34"/>
      <c r="C213" s="35"/>
      <c r="D213" s="35"/>
      <c r="E213" s="36"/>
      <c r="F213" s="3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customFormat="false" ht="21" hidden="false" customHeight="true" outlineLevel="0" collapsed="false">
      <c r="A214" s="1"/>
      <c r="B214" s="37"/>
      <c r="C214" s="22"/>
      <c r="D214" s="22"/>
      <c r="E214" s="19"/>
      <c r="F214" s="2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customFormat="false" ht="21" hidden="false" customHeight="true" outlineLevel="0" collapsed="false">
      <c r="A215" s="1"/>
      <c r="B215" s="34"/>
      <c r="C215" s="35"/>
      <c r="D215" s="35"/>
      <c r="E215" s="36"/>
      <c r="F215" s="3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customFormat="false" ht="21" hidden="false" customHeight="true" outlineLevel="0" collapsed="false">
      <c r="A216" s="1"/>
      <c r="B216" s="37"/>
      <c r="C216" s="22"/>
      <c r="D216" s="22"/>
      <c r="E216" s="19"/>
      <c r="F216" s="2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customFormat="false" ht="21" hidden="false" customHeight="true" outlineLevel="0" collapsed="false">
      <c r="A217" s="1"/>
      <c r="B217" s="34"/>
      <c r="C217" s="35"/>
      <c r="D217" s="35"/>
      <c r="E217" s="36"/>
      <c r="F217" s="3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customFormat="false" ht="21" hidden="false" customHeight="true" outlineLevel="0" collapsed="false">
      <c r="A218" s="1"/>
      <c r="B218" s="37"/>
      <c r="C218" s="22"/>
      <c r="D218" s="22"/>
      <c r="E218" s="19"/>
      <c r="F218" s="2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customFormat="false" ht="21" hidden="false" customHeight="true" outlineLevel="0" collapsed="false">
      <c r="A219" s="1"/>
      <c r="B219" s="34"/>
      <c r="C219" s="35"/>
      <c r="D219" s="35"/>
      <c r="E219" s="36"/>
      <c r="F219" s="3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customFormat="false" ht="21" hidden="false" customHeight="true" outlineLevel="0" collapsed="false">
      <c r="A220" s="1"/>
      <c r="B220" s="37"/>
      <c r="C220" s="22"/>
      <c r="D220" s="22"/>
      <c r="E220" s="19"/>
      <c r="F220" s="2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customFormat="false" ht="21" hidden="false" customHeight="true" outlineLevel="0" collapsed="false">
      <c r="A221" s="1"/>
      <c r="B221" s="34"/>
      <c r="C221" s="35"/>
      <c r="D221" s="35"/>
      <c r="E221" s="36"/>
      <c r="F221" s="3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customFormat="false" ht="21" hidden="false" customHeight="true" outlineLevel="0" collapsed="false">
      <c r="A222" s="1"/>
      <c r="B222" s="37"/>
      <c r="C222" s="22"/>
      <c r="D222" s="22"/>
      <c r="E222" s="19"/>
      <c r="F222" s="2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customFormat="false" ht="21" hidden="false" customHeight="true" outlineLevel="0" collapsed="false">
      <c r="A223" s="1"/>
      <c r="B223" s="34"/>
      <c r="C223" s="35"/>
      <c r="D223" s="35"/>
      <c r="E223" s="36"/>
      <c r="F223" s="3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customFormat="false" ht="21" hidden="false" customHeight="true" outlineLevel="0" collapsed="false">
      <c r="A224" s="1"/>
      <c r="B224" s="37"/>
      <c r="C224" s="22"/>
      <c r="D224" s="22"/>
      <c r="E224" s="19"/>
      <c r="F224" s="2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customFormat="false" ht="21" hidden="false" customHeight="true" outlineLevel="0" collapsed="false">
      <c r="A225" s="1"/>
      <c r="B225" s="34"/>
      <c r="C225" s="35"/>
      <c r="D225" s="35"/>
      <c r="E225" s="36"/>
      <c r="F225" s="3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customFormat="false" ht="21" hidden="false" customHeight="true" outlineLevel="0" collapsed="false">
      <c r="A226" s="1"/>
      <c r="B226" s="37"/>
      <c r="C226" s="22"/>
      <c r="D226" s="22"/>
      <c r="E226" s="19"/>
      <c r="F226" s="2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customFormat="false" ht="21" hidden="false" customHeight="true" outlineLevel="0" collapsed="false">
      <c r="A227" s="1"/>
      <c r="B227" s="34"/>
      <c r="C227" s="35"/>
      <c r="D227" s="35"/>
      <c r="E227" s="36"/>
      <c r="F227" s="3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customFormat="false" ht="21" hidden="false" customHeight="true" outlineLevel="0" collapsed="false">
      <c r="A228" s="1"/>
      <c r="B228" s="37"/>
      <c r="C228" s="22"/>
      <c r="D228" s="22"/>
      <c r="E228" s="19"/>
      <c r="F228" s="2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customFormat="false" ht="21" hidden="false" customHeight="true" outlineLevel="0" collapsed="false">
      <c r="A229" s="1"/>
      <c r="B229" s="34"/>
      <c r="C229" s="35"/>
      <c r="D229" s="35"/>
      <c r="E229" s="36"/>
      <c r="F229" s="3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customFormat="false" ht="21" hidden="false" customHeight="true" outlineLevel="0" collapsed="false">
      <c r="A230" s="1"/>
      <c r="B230" s="37"/>
      <c r="C230" s="22"/>
      <c r="D230" s="22"/>
      <c r="E230" s="19"/>
      <c r="F230" s="2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customFormat="false" ht="21" hidden="false" customHeight="true" outlineLevel="0" collapsed="false">
      <c r="A231" s="1"/>
      <c r="B231" s="34"/>
      <c r="C231" s="35"/>
      <c r="D231" s="35"/>
      <c r="E231" s="36"/>
      <c r="F231" s="3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customFormat="false" ht="21" hidden="false" customHeight="true" outlineLevel="0" collapsed="false">
      <c r="A232" s="1"/>
      <c r="B232" s="37"/>
      <c r="C232" s="22"/>
      <c r="D232" s="22"/>
      <c r="E232" s="19"/>
      <c r="F232" s="2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customFormat="false" ht="21" hidden="false" customHeight="true" outlineLevel="0" collapsed="false">
      <c r="A233" s="1"/>
      <c r="B233" s="34"/>
      <c r="C233" s="35"/>
      <c r="D233" s="35"/>
      <c r="E233" s="36"/>
      <c r="F233" s="3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customFormat="false" ht="21" hidden="false" customHeight="true" outlineLevel="0" collapsed="false">
      <c r="A234" s="1"/>
      <c r="B234" s="37"/>
      <c r="C234" s="22"/>
      <c r="D234" s="22"/>
      <c r="E234" s="19"/>
      <c r="F234" s="2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customFormat="false" ht="21" hidden="false" customHeight="true" outlineLevel="0" collapsed="false">
      <c r="A235" s="1"/>
      <c r="B235" s="34"/>
      <c r="C235" s="35"/>
      <c r="D235" s="35"/>
      <c r="E235" s="36"/>
      <c r="F235" s="3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customFormat="false" ht="21" hidden="false" customHeight="true" outlineLevel="0" collapsed="false">
      <c r="A236" s="1"/>
      <c r="B236" s="37"/>
      <c r="C236" s="22"/>
      <c r="D236" s="22"/>
      <c r="E236" s="19"/>
      <c r="F236" s="2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customFormat="false" ht="21" hidden="false" customHeight="true" outlineLevel="0" collapsed="false">
      <c r="A237" s="1"/>
      <c r="B237" s="34"/>
      <c r="C237" s="35"/>
      <c r="D237" s="35"/>
      <c r="E237" s="36"/>
      <c r="F237" s="3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customFormat="false" ht="21" hidden="false" customHeight="true" outlineLevel="0" collapsed="false">
      <c r="A238" s="1"/>
      <c r="B238" s="37"/>
      <c r="C238" s="22"/>
      <c r="D238" s="22"/>
      <c r="E238" s="19"/>
      <c r="F238" s="2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customFormat="false" ht="21" hidden="false" customHeight="true" outlineLevel="0" collapsed="false">
      <c r="A239" s="1"/>
      <c r="B239" s="34"/>
      <c r="C239" s="35"/>
      <c r="D239" s="35"/>
      <c r="E239" s="36"/>
      <c r="F239" s="3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customFormat="false" ht="21" hidden="false" customHeight="true" outlineLevel="0" collapsed="false">
      <c r="A240" s="1"/>
      <c r="B240" s="37"/>
      <c r="C240" s="22"/>
      <c r="D240" s="22"/>
      <c r="E240" s="19"/>
      <c r="F240" s="2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customFormat="false" ht="21" hidden="false" customHeight="true" outlineLevel="0" collapsed="false">
      <c r="A241" s="1"/>
      <c r="B241" s="34"/>
      <c r="C241" s="35"/>
      <c r="D241" s="35"/>
      <c r="E241" s="36"/>
      <c r="F241" s="3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customFormat="false" ht="21" hidden="false" customHeight="true" outlineLevel="0" collapsed="false">
      <c r="A242" s="1"/>
      <c r="B242" s="37"/>
      <c r="C242" s="22"/>
      <c r="D242" s="22"/>
      <c r="E242" s="19"/>
      <c r="F242" s="2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customFormat="false" ht="21" hidden="false" customHeight="true" outlineLevel="0" collapsed="false">
      <c r="A243" s="1"/>
      <c r="B243" s="34"/>
      <c r="C243" s="35"/>
      <c r="D243" s="35"/>
      <c r="E243" s="36"/>
      <c r="F243" s="3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customFormat="false" ht="21" hidden="false" customHeight="true" outlineLevel="0" collapsed="false">
      <c r="A244" s="1"/>
      <c r="B244" s="37"/>
      <c r="C244" s="22"/>
      <c r="D244" s="22"/>
      <c r="E244" s="19"/>
      <c r="F244" s="2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customFormat="false" ht="21" hidden="false" customHeight="true" outlineLevel="0" collapsed="false">
      <c r="A245" s="1"/>
      <c r="B245" s="34"/>
      <c r="C245" s="35"/>
      <c r="D245" s="35"/>
      <c r="E245" s="36"/>
      <c r="F245" s="3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customFormat="false" ht="21" hidden="false" customHeight="true" outlineLevel="0" collapsed="false">
      <c r="A246" s="1"/>
      <c r="B246" s="37"/>
      <c r="C246" s="22"/>
      <c r="D246" s="22"/>
      <c r="E246" s="19"/>
      <c r="F246" s="2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customFormat="false" ht="21" hidden="false" customHeight="true" outlineLevel="0" collapsed="false">
      <c r="A247" s="1"/>
      <c r="B247" s="34"/>
      <c r="C247" s="35"/>
      <c r="D247" s="35"/>
      <c r="E247" s="36"/>
      <c r="F247" s="3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customFormat="false" ht="21" hidden="false" customHeight="true" outlineLevel="0" collapsed="false">
      <c r="A248" s="1"/>
      <c r="B248" s="37"/>
      <c r="C248" s="22"/>
      <c r="D248" s="22"/>
      <c r="E248" s="19"/>
      <c r="F248" s="2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customFormat="false" ht="21" hidden="false" customHeight="true" outlineLevel="0" collapsed="false">
      <c r="A249" s="1"/>
      <c r="B249" s="34"/>
      <c r="C249" s="35"/>
      <c r="D249" s="35"/>
      <c r="E249" s="36"/>
      <c r="F249" s="3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customFormat="false" ht="21" hidden="false" customHeight="true" outlineLevel="0" collapsed="false">
      <c r="A250" s="1"/>
      <c r="B250" s="37"/>
      <c r="C250" s="22"/>
      <c r="D250" s="22"/>
      <c r="E250" s="19"/>
      <c r="F250" s="2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customFormat="false" ht="21" hidden="false" customHeight="true" outlineLevel="0" collapsed="false">
      <c r="A251" s="1"/>
      <c r="B251" s="34"/>
      <c r="C251" s="35"/>
      <c r="D251" s="35"/>
      <c r="E251" s="36"/>
      <c r="F251" s="35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customFormat="false" ht="21" hidden="false" customHeight="true" outlineLevel="0" collapsed="false">
      <c r="A252" s="1"/>
      <c r="B252" s="37"/>
      <c r="C252" s="22"/>
      <c r="D252" s="22"/>
      <c r="E252" s="19"/>
      <c r="F252" s="2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customFormat="false" ht="21" hidden="false" customHeight="true" outlineLevel="0" collapsed="false">
      <c r="A253" s="1"/>
      <c r="B253" s="34"/>
      <c r="C253" s="35"/>
      <c r="D253" s="35"/>
      <c r="E253" s="36"/>
      <c r="F253" s="35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customFormat="false" ht="21" hidden="false" customHeight="true" outlineLevel="0" collapsed="false">
      <c r="A254" s="1"/>
      <c r="B254" s="37"/>
      <c r="C254" s="22"/>
      <c r="D254" s="22"/>
      <c r="E254" s="19"/>
      <c r="F254" s="2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customFormat="false" ht="21" hidden="false" customHeight="true" outlineLevel="0" collapsed="false">
      <c r="A255" s="1"/>
      <c r="B255" s="34"/>
      <c r="C255" s="35"/>
      <c r="D255" s="35"/>
      <c r="E255" s="36"/>
      <c r="F255" s="35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customFormat="false" ht="21" hidden="false" customHeight="true" outlineLevel="0" collapsed="false">
      <c r="A256" s="1"/>
      <c r="B256" s="37"/>
      <c r="C256" s="22"/>
      <c r="D256" s="22"/>
      <c r="E256" s="19"/>
      <c r="F256" s="2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customFormat="false" ht="21" hidden="false" customHeight="true" outlineLevel="0" collapsed="false">
      <c r="A257" s="1"/>
      <c r="B257" s="34"/>
      <c r="C257" s="35"/>
      <c r="D257" s="35"/>
      <c r="E257" s="36"/>
      <c r="F257" s="35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customFormat="false" ht="21" hidden="false" customHeight="true" outlineLevel="0" collapsed="false">
      <c r="A258" s="1"/>
      <c r="B258" s="37"/>
      <c r="C258" s="22"/>
      <c r="D258" s="22"/>
      <c r="E258" s="19"/>
      <c r="F258" s="2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customFormat="false" ht="21" hidden="false" customHeight="true" outlineLevel="0" collapsed="false">
      <c r="A259" s="1"/>
      <c r="B259" s="34"/>
      <c r="C259" s="35"/>
      <c r="D259" s="35"/>
      <c r="E259" s="36"/>
      <c r="F259" s="35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customFormat="false" ht="21" hidden="false" customHeight="true" outlineLevel="0" collapsed="false">
      <c r="A260" s="1"/>
      <c r="B260" s="37"/>
      <c r="C260" s="22"/>
      <c r="D260" s="22"/>
      <c r="E260" s="19"/>
      <c r="F260" s="2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customFormat="false" ht="21" hidden="false" customHeight="true" outlineLevel="0" collapsed="false">
      <c r="A261" s="1"/>
      <c r="B261" s="34"/>
      <c r="C261" s="35"/>
      <c r="D261" s="35"/>
      <c r="E261" s="36"/>
      <c r="F261" s="35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customFormat="false" ht="21" hidden="false" customHeight="true" outlineLevel="0" collapsed="false">
      <c r="A262" s="1"/>
      <c r="B262" s="37"/>
      <c r="C262" s="22"/>
      <c r="D262" s="22"/>
      <c r="E262" s="19"/>
      <c r="F262" s="2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customFormat="false" ht="21" hidden="false" customHeight="true" outlineLevel="0" collapsed="false">
      <c r="A263" s="1"/>
      <c r="B263" s="34"/>
      <c r="C263" s="35"/>
      <c r="D263" s="35"/>
      <c r="E263" s="36"/>
      <c r="F263" s="35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customFormat="false" ht="21" hidden="false" customHeight="true" outlineLevel="0" collapsed="false">
      <c r="A264" s="1"/>
      <c r="B264" s="37"/>
      <c r="C264" s="22"/>
      <c r="D264" s="22"/>
      <c r="E264" s="19"/>
      <c r="F264" s="2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customFormat="false" ht="21" hidden="false" customHeight="true" outlineLevel="0" collapsed="false">
      <c r="A265" s="1"/>
      <c r="B265" s="34"/>
      <c r="C265" s="35"/>
      <c r="D265" s="35"/>
      <c r="E265" s="36"/>
      <c r="F265" s="35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customFormat="false" ht="21" hidden="false" customHeight="true" outlineLevel="0" collapsed="false">
      <c r="A266" s="1"/>
      <c r="B266" s="37"/>
      <c r="C266" s="22"/>
      <c r="D266" s="22"/>
      <c r="E266" s="19"/>
      <c r="F266" s="2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customFormat="false" ht="21" hidden="false" customHeight="true" outlineLevel="0" collapsed="false">
      <c r="A267" s="1"/>
      <c r="B267" s="34"/>
      <c r="C267" s="35"/>
      <c r="D267" s="35"/>
      <c r="E267" s="36"/>
      <c r="F267" s="35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customFormat="false" ht="21" hidden="false" customHeight="true" outlineLevel="0" collapsed="false">
      <c r="A268" s="1"/>
      <c r="B268" s="37"/>
      <c r="C268" s="22"/>
      <c r="D268" s="22"/>
      <c r="E268" s="19"/>
      <c r="F268" s="2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customFormat="false" ht="21" hidden="false" customHeight="true" outlineLevel="0" collapsed="false">
      <c r="A269" s="1"/>
      <c r="B269" s="34"/>
      <c r="C269" s="35"/>
      <c r="D269" s="35"/>
      <c r="E269" s="36"/>
      <c r="F269" s="35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customFormat="false" ht="21" hidden="false" customHeight="true" outlineLevel="0" collapsed="false">
      <c r="A270" s="1"/>
      <c r="B270" s="37"/>
      <c r="C270" s="22"/>
      <c r="D270" s="22"/>
      <c r="E270" s="19"/>
      <c r="F270" s="2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customFormat="false" ht="21" hidden="false" customHeight="true" outlineLevel="0" collapsed="false">
      <c r="A271" s="1"/>
      <c r="B271" s="34"/>
      <c r="C271" s="35"/>
      <c r="D271" s="35"/>
      <c r="E271" s="36"/>
      <c r="F271" s="35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customFormat="false" ht="21" hidden="false" customHeight="true" outlineLevel="0" collapsed="false">
      <c r="A272" s="1"/>
      <c r="B272" s="37"/>
      <c r="C272" s="22"/>
      <c r="D272" s="22"/>
      <c r="E272" s="19"/>
      <c r="F272" s="2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customFormat="false" ht="21" hidden="false" customHeight="true" outlineLevel="0" collapsed="false">
      <c r="A273" s="1"/>
      <c r="B273" s="34"/>
      <c r="C273" s="35"/>
      <c r="D273" s="35"/>
      <c r="E273" s="36"/>
      <c r="F273" s="35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customFormat="false" ht="21" hidden="false" customHeight="true" outlineLevel="0" collapsed="false">
      <c r="A274" s="1"/>
      <c r="B274" s="37"/>
      <c r="C274" s="22"/>
      <c r="D274" s="22"/>
      <c r="E274" s="19"/>
      <c r="F274" s="2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customFormat="false" ht="21" hidden="false" customHeight="true" outlineLevel="0" collapsed="false">
      <c r="A275" s="1"/>
      <c r="B275" s="34"/>
      <c r="C275" s="35"/>
      <c r="D275" s="35"/>
      <c r="E275" s="36"/>
      <c r="F275" s="35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customFormat="false" ht="21" hidden="false" customHeight="true" outlineLevel="0" collapsed="false">
      <c r="A276" s="1"/>
      <c r="B276" s="37"/>
      <c r="C276" s="22"/>
      <c r="D276" s="22"/>
      <c r="E276" s="19"/>
      <c r="F276" s="2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customFormat="false" ht="21" hidden="false" customHeight="true" outlineLevel="0" collapsed="false">
      <c r="A277" s="1"/>
      <c r="B277" s="34"/>
      <c r="C277" s="35"/>
      <c r="D277" s="35"/>
      <c r="E277" s="36"/>
      <c r="F277" s="35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customFormat="false" ht="21" hidden="false" customHeight="true" outlineLevel="0" collapsed="false">
      <c r="A278" s="1"/>
      <c r="B278" s="37"/>
      <c r="C278" s="22"/>
      <c r="D278" s="22"/>
      <c r="E278" s="19"/>
      <c r="F278" s="2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customFormat="false" ht="21" hidden="false" customHeight="true" outlineLevel="0" collapsed="false">
      <c r="A279" s="1"/>
      <c r="B279" s="34"/>
      <c r="C279" s="35"/>
      <c r="D279" s="35"/>
      <c r="E279" s="36"/>
      <c r="F279" s="35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customFormat="false" ht="21" hidden="false" customHeight="true" outlineLevel="0" collapsed="false">
      <c r="A280" s="1"/>
      <c r="B280" s="37"/>
      <c r="C280" s="22"/>
      <c r="D280" s="22"/>
      <c r="E280" s="19"/>
      <c r="F280" s="2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customFormat="false" ht="21" hidden="false" customHeight="true" outlineLevel="0" collapsed="false">
      <c r="A281" s="1"/>
      <c r="B281" s="34"/>
      <c r="C281" s="35"/>
      <c r="D281" s="35"/>
      <c r="E281" s="36"/>
      <c r="F281" s="35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customFormat="false" ht="21" hidden="false" customHeight="true" outlineLevel="0" collapsed="false">
      <c r="A282" s="1"/>
      <c r="B282" s="37"/>
      <c r="C282" s="22"/>
      <c r="D282" s="22"/>
      <c r="E282" s="19"/>
      <c r="F282" s="2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customFormat="false" ht="21" hidden="false" customHeight="true" outlineLevel="0" collapsed="false">
      <c r="A283" s="1"/>
      <c r="B283" s="34"/>
      <c r="C283" s="35"/>
      <c r="D283" s="35"/>
      <c r="E283" s="36"/>
      <c r="F283" s="35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customFormat="false" ht="21" hidden="false" customHeight="true" outlineLevel="0" collapsed="false">
      <c r="A284" s="1"/>
      <c r="B284" s="37"/>
      <c r="C284" s="22"/>
      <c r="D284" s="22"/>
      <c r="E284" s="19"/>
      <c r="F284" s="2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customFormat="false" ht="21" hidden="false" customHeight="true" outlineLevel="0" collapsed="false">
      <c r="A285" s="1"/>
      <c r="B285" s="34"/>
      <c r="C285" s="35"/>
      <c r="D285" s="35"/>
      <c r="E285" s="36"/>
      <c r="F285" s="35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customFormat="false" ht="21" hidden="false" customHeight="true" outlineLevel="0" collapsed="false">
      <c r="A286" s="1"/>
      <c r="B286" s="37"/>
      <c r="C286" s="22"/>
      <c r="D286" s="22"/>
      <c r="E286" s="19"/>
      <c r="F286" s="2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customFormat="false" ht="21" hidden="false" customHeight="true" outlineLevel="0" collapsed="false">
      <c r="A287" s="1"/>
      <c r="B287" s="34"/>
      <c r="C287" s="35"/>
      <c r="D287" s="35"/>
      <c r="E287" s="36"/>
      <c r="F287" s="35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customFormat="false" ht="21" hidden="false" customHeight="true" outlineLevel="0" collapsed="false">
      <c r="A288" s="1"/>
      <c r="B288" s="37"/>
      <c r="C288" s="22"/>
      <c r="D288" s="22"/>
      <c r="E288" s="19"/>
      <c r="F288" s="2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customFormat="false" ht="21" hidden="false" customHeight="true" outlineLevel="0" collapsed="false">
      <c r="A289" s="1"/>
      <c r="B289" s="34"/>
      <c r="C289" s="35"/>
      <c r="D289" s="35"/>
      <c r="E289" s="36"/>
      <c r="F289" s="35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customFormat="false" ht="21" hidden="false" customHeight="true" outlineLevel="0" collapsed="false">
      <c r="A290" s="1"/>
      <c r="B290" s="37"/>
      <c r="C290" s="22"/>
      <c r="D290" s="22"/>
      <c r="E290" s="19"/>
      <c r="F290" s="2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customFormat="false" ht="21" hidden="false" customHeight="true" outlineLevel="0" collapsed="false">
      <c r="A291" s="1"/>
      <c r="B291" s="34"/>
      <c r="C291" s="35"/>
      <c r="D291" s="35"/>
      <c r="E291" s="36"/>
      <c r="F291" s="35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customFormat="false" ht="21" hidden="false" customHeight="true" outlineLevel="0" collapsed="false">
      <c r="A292" s="1"/>
      <c r="B292" s="37"/>
      <c r="C292" s="22"/>
      <c r="D292" s="22"/>
      <c r="E292" s="19"/>
      <c r="F292" s="2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customFormat="false" ht="21" hidden="false" customHeight="true" outlineLevel="0" collapsed="false">
      <c r="A293" s="1"/>
      <c r="B293" s="34"/>
      <c r="C293" s="35"/>
      <c r="D293" s="35"/>
      <c r="E293" s="36"/>
      <c r="F293" s="35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customFormat="false" ht="21" hidden="false" customHeight="true" outlineLevel="0" collapsed="false">
      <c r="A294" s="1"/>
      <c r="B294" s="37"/>
      <c r="C294" s="22"/>
      <c r="D294" s="22"/>
      <c r="E294" s="19"/>
      <c r="F294" s="2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customFormat="false" ht="21" hidden="false" customHeight="true" outlineLevel="0" collapsed="false">
      <c r="A295" s="1"/>
      <c r="B295" s="34"/>
      <c r="C295" s="35"/>
      <c r="D295" s="35"/>
      <c r="E295" s="36"/>
      <c r="F295" s="35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customFormat="false" ht="21" hidden="false" customHeight="true" outlineLevel="0" collapsed="false">
      <c r="A296" s="1"/>
      <c r="B296" s="37"/>
      <c r="C296" s="22"/>
      <c r="D296" s="22"/>
      <c r="E296" s="19"/>
      <c r="F296" s="2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customFormat="false" ht="21" hidden="false" customHeight="true" outlineLevel="0" collapsed="false">
      <c r="A297" s="1"/>
      <c r="B297" s="34"/>
      <c r="C297" s="35"/>
      <c r="D297" s="35"/>
      <c r="E297" s="36"/>
      <c r="F297" s="35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customFormat="false" ht="21" hidden="false" customHeight="true" outlineLevel="0" collapsed="false">
      <c r="A298" s="1"/>
      <c r="B298" s="37"/>
      <c r="C298" s="22"/>
      <c r="D298" s="22"/>
      <c r="E298" s="19"/>
      <c r="F298" s="2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customFormat="false" ht="21" hidden="false" customHeight="true" outlineLevel="0" collapsed="false">
      <c r="A299" s="1"/>
      <c r="B299" s="34"/>
      <c r="C299" s="35"/>
      <c r="D299" s="35"/>
      <c r="E299" s="36"/>
      <c r="F299" s="35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customFormat="false" ht="21" hidden="false" customHeight="true" outlineLevel="0" collapsed="false">
      <c r="A300" s="1"/>
      <c r="B300" s="37"/>
      <c r="C300" s="22"/>
      <c r="D300" s="22"/>
      <c r="E300" s="19"/>
      <c r="F300" s="2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customFormat="false" ht="21" hidden="false" customHeight="true" outlineLevel="0" collapsed="false">
      <c r="A301" s="1"/>
      <c r="B301" s="34"/>
      <c r="C301" s="35"/>
      <c r="D301" s="35"/>
      <c r="E301" s="36"/>
      <c r="F301" s="35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customFormat="false" ht="21" hidden="false" customHeight="true" outlineLevel="0" collapsed="false">
      <c r="A302" s="1"/>
      <c r="B302" s="37"/>
      <c r="C302" s="22"/>
      <c r="D302" s="22"/>
      <c r="E302" s="19"/>
      <c r="F302" s="2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customFormat="false" ht="21" hidden="false" customHeight="true" outlineLevel="0" collapsed="false">
      <c r="A303" s="1"/>
      <c r="B303" s="34"/>
      <c r="C303" s="35"/>
      <c r="D303" s="35"/>
      <c r="E303" s="36"/>
      <c r="F303" s="35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customFormat="false" ht="21" hidden="false" customHeight="true" outlineLevel="0" collapsed="false">
      <c r="A304" s="1"/>
      <c r="B304" s="37"/>
      <c r="C304" s="22"/>
      <c r="D304" s="22"/>
      <c r="E304" s="19"/>
      <c r="F304" s="2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customFormat="false" ht="21" hidden="false" customHeight="true" outlineLevel="0" collapsed="false">
      <c r="A305" s="1"/>
      <c r="B305" s="34"/>
      <c r="C305" s="35"/>
      <c r="D305" s="35"/>
      <c r="E305" s="36"/>
      <c r="F305" s="35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customFormat="false" ht="1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customFormat="false" ht="1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customFormat="false" ht="1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customFormat="false" ht="1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customFormat="false" ht="1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</sheetData>
  <dataValidations count="1">
    <dataValidation allowBlank="true" error="Choisissez une catégorie de la liste (onglet Paramètres)." errorStyle="stop" errorTitle="Catégorie inconnue" operator="between" showDropDown="false" showErrorMessage="true" showInputMessage="false" sqref="D6:D305" type="list">
      <formula1>Paramètres!$B$18:$B$37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5" min="3" style="0" width="15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3.75" hidden="false" customHeight="true" outlineLevel="0" collapsed="false">
      <c r="A2" s="1"/>
      <c r="B2" s="15" t="s">
        <v>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5" hidden="false" customHeight="false" outlineLevel="0" collapsed="false">
      <c r="A3" s="1"/>
      <c r="B3" s="38" t="n">
        <f aca="false">Paramètres!C5</f>
        <v>46327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Format="false" ht="19.5" hidden="false" customHeight="true" outlineLevel="0" collapsed="false">
      <c r="A5" s="1"/>
      <c r="B5" s="39" t="s">
        <v>29</v>
      </c>
      <c r="C5" s="39" t="s">
        <v>68</v>
      </c>
      <c r="D5" s="39"/>
      <c r="E5" s="40" t="s">
        <v>69</v>
      </c>
      <c r="F5" s="40"/>
      <c r="G5" s="40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Format="false" ht="27.75" hidden="false" customHeight="true" outlineLevel="0" collapsed="false">
      <c r="A6" s="1"/>
      <c r="B6" s="41" t="n">
        <f aca="false">Paramètres!C15</f>
        <v>3450</v>
      </c>
      <c r="C6" s="41" t="n">
        <f aca="false">SUM(Dépenses!$E$6:$E$305)</f>
        <v>1129.7</v>
      </c>
      <c r="D6" s="41"/>
      <c r="E6" s="42" t="n">
        <f aca="false">B6-C6</f>
        <v>2320.3</v>
      </c>
      <c r="F6" s="42"/>
      <c r="G6" s="4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7.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Format="false" ht="19.5" hidden="false" customHeight="true" outlineLevel="0" collapsed="false">
      <c r="A8" s="1"/>
      <c r="B8" s="39" t="s">
        <v>70</v>
      </c>
      <c r="C8" s="40" t="s">
        <v>71</v>
      </c>
      <c r="D8" s="40"/>
      <c r="E8" s="40"/>
      <c r="F8" s="40"/>
      <c r="G8" s="40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Format="false" ht="27.75" hidden="false" customHeight="true" outlineLevel="0" collapsed="false">
      <c r="A9" s="1"/>
      <c r="B9" s="41" t="n">
        <f aca="false">Paramètres!C6</f>
        <v>150</v>
      </c>
      <c r="C9" s="43" t="str">
        <f aca="false">IF(E6&gt;=B9,"Atteint ✓","Pas encore : courage !")</f>
        <v>Atteint ✓</v>
      </c>
      <c r="D9" s="43"/>
      <c r="E9" s="43"/>
      <c r="F9" s="43"/>
      <c r="G9" s="43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customFormat="false" ht="12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customFormat="false" ht="25.5" hidden="false" customHeight="true" outlineLevel="0" collapsed="false">
      <c r="A11" s="1"/>
      <c r="B11" s="20" t="s">
        <v>57</v>
      </c>
      <c r="C11" s="21" t="s">
        <v>31</v>
      </c>
      <c r="D11" s="21" t="s">
        <v>72</v>
      </c>
      <c r="E11" s="21" t="s">
        <v>73</v>
      </c>
      <c r="F11" s="21" t="s">
        <v>74</v>
      </c>
      <c r="G11" s="44" t="s">
        <v>75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customFormat="false" ht="21.75" hidden="false" customHeight="true" outlineLevel="0" collapsed="false">
      <c r="A12" s="1"/>
      <c r="B12" s="45" t="str">
        <f aca="false">IF(Paramètres!B18="","",Paramètres!B18)</f>
        <v>Loyer / crédit immobilier</v>
      </c>
      <c r="C12" s="46" t="n">
        <f aca="false">IF(B12="","",Paramètres!C18)</f>
        <v>900</v>
      </c>
      <c r="D12" s="46" t="n">
        <f aca="false">IF(B12="","",SUMIFS(Dépenses!$E$6:$E$305,Dépenses!$D$6:$D$305,B12))</f>
        <v>900</v>
      </c>
      <c r="E12" s="46" t="n">
        <f aca="false">IF(B12="","",C12-D12)</f>
        <v>0</v>
      </c>
      <c r="F12" s="47" t="n">
        <f aca="false">IF(OR(B12="",N(C12)=0),"",D12/C12)</f>
        <v>1</v>
      </c>
      <c r="G12" s="48" t="str">
        <f aca="false">IF(F12="","",REPT("■",MIN(10,ROUND(F12*10,0)))&amp;REPT("□",10-MIN(10,ROUND(F12*10,0))))</f>
        <v>■■■■■■■■■■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customFormat="false" ht="21.75" hidden="false" customHeight="true" outlineLevel="0" collapsed="false">
      <c r="A13" s="1"/>
      <c r="B13" s="45" t="str">
        <f aca="false">IF(Paramètres!B19="","",Paramètres!B19)</f>
        <v>Électricité, gaz, eau</v>
      </c>
      <c r="C13" s="46" t="n">
        <f aca="false">IF(B13="","",Paramètres!C19)</f>
        <v>140</v>
      </c>
      <c r="D13" s="46" t="n">
        <f aca="false">IF(B13="","",SUMIFS(Dépenses!$E$6:$E$305,Dépenses!$D$6:$D$305,B13))</f>
        <v>98.4</v>
      </c>
      <c r="E13" s="46" t="n">
        <f aca="false">IF(B13="","",C13-D13)</f>
        <v>41.6</v>
      </c>
      <c r="F13" s="47" t="n">
        <f aca="false">IF(OR(B13="",N(C13)=0),"",D13/C13)</f>
        <v>0.702857142857143</v>
      </c>
      <c r="G13" s="48" t="str">
        <f aca="false">IF(F13="","",REPT("■",MIN(10,ROUND(F13*10,0)))&amp;REPT("□",10-MIN(10,ROUND(F13*10,0))))</f>
        <v>■■■■■■■□□□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customFormat="false" ht="21.75" hidden="false" customHeight="true" outlineLevel="0" collapsed="false">
      <c r="A14" s="1"/>
      <c r="B14" s="45" t="str">
        <f aca="false">IF(Paramètres!B20="","",Paramètres!B20)</f>
        <v>Internet et téléphones</v>
      </c>
      <c r="C14" s="46" t="n">
        <f aca="false">IF(B14="","",Paramètres!C20)</f>
        <v>50</v>
      </c>
      <c r="D14" s="46" t="n">
        <f aca="false">IF(B14="","",SUMIFS(Dépenses!$E$6:$E$305,Dépenses!$D$6:$D$305,B14))</f>
        <v>0</v>
      </c>
      <c r="E14" s="46" t="n">
        <f aca="false">IF(B14="","",C14-D14)</f>
        <v>50</v>
      </c>
      <c r="F14" s="47" t="n">
        <f aca="false">IF(OR(B14="",N(C14)=0),"",D14/C14)</f>
        <v>0</v>
      </c>
      <c r="G14" s="48" t="str">
        <f aca="false">IF(F14="","",REPT("■",MIN(10,ROUND(F14*10,0)))&amp;REPT("□",10-MIN(10,ROUND(F14*10,0))))</f>
        <v>□□□□□□□□□□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customFormat="false" ht="21.75" hidden="false" customHeight="true" outlineLevel="0" collapsed="false">
      <c r="A15" s="1"/>
      <c r="B15" s="45" t="str">
        <f aca="false">IF(Paramètres!B21="","",Paramètres!B21)</f>
        <v>Assurances</v>
      </c>
      <c r="C15" s="46" t="n">
        <f aca="false">IF(B15="","",Paramètres!C21)</f>
        <v>80</v>
      </c>
      <c r="D15" s="46" t="n">
        <f aca="false">IF(B15="","",SUMIFS(Dépenses!$E$6:$E$305,Dépenses!$D$6:$D$305,B15))</f>
        <v>0</v>
      </c>
      <c r="E15" s="46" t="n">
        <f aca="false">IF(B15="","",C15-D15)</f>
        <v>80</v>
      </c>
      <c r="F15" s="47" t="n">
        <f aca="false">IF(OR(B15="",N(C15)=0),"",D15/C15)</f>
        <v>0</v>
      </c>
      <c r="G15" s="48" t="str">
        <f aca="false">IF(F15="","",REPT("■",MIN(10,ROUND(F15*10,0)))&amp;REPT("□",10-MIN(10,ROUND(F15*10,0))))</f>
        <v>□□□□□□□□□□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customFormat="false" ht="21.75" hidden="false" customHeight="true" outlineLevel="0" collapsed="false">
      <c r="A16" s="1"/>
      <c r="B16" s="45" t="str">
        <f aca="false">IF(Paramètres!B22="","",Paramètres!B22)</f>
        <v>Crèche / nounou / garde</v>
      </c>
      <c r="C16" s="46" t="n">
        <f aca="false">IF(B16="","",Paramètres!C22)</f>
        <v>250</v>
      </c>
      <c r="D16" s="46" t="n">
        <f aca="false">IF(B16="","",SUMIFS(Dépenses!$E$6:$E$305,Dépenses!$D$6:$D$305,B16))</f>
        <v>0</v>
      </c>
      <c r="E16" s="46" t="n">
        <f aca="false">IF(B16="","",C16-D16)</f>
        <v>250</v>
      </c>
      <c r="F16" s="47" t="n">
        <f aca="false">IF(OR(B16="",N(C16)=0),"",D16/C16)</f>
        <v>0</v>
      </c>
      <c r="G16" s="48" t="str">
        <f aca="false">IF(F16="","",REPT("■",MIN(10,ROUND(F16*10,0)))&amp;REPT("□",10-MIN(10,ROUND(F16*10,0))))</f>
        <v>□□□□□□□□□□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customFormat="false" ht="21.75" hidden="false" customHeight="true" outlineLevel="0" collapsed="false">
      <c r="A17" s="1"/>
      <c r="B17" s="45" t="str">
        <f aca="false">IF(Paramètres!B23="","",Paramètres!B23)</f>
        <v>Cantine et périscolaire</v>
      </c>
      <c r="C17" s="46" t="n">
        <f aca="false">IF(B17="","",Paramètres!C23)</f>
        <v>80</v>
      </c>
      <c r="D17" s="46" t="n">
        <f aca="false">IF(B17="","",SUMIFS(Dépenses!$E$6:$E$305,Dépenses!$D$6:$D$305,B17))</f>
        <v>0</v>
      </c>
      <c r="E17" s="46" t="n">
        <f aca="false">IF(B17="","",C17-D17)</f>
        <v>80</v>
      </c>
      <c r="F17" s="47" t="n">
        <f aca="false">IF(OR(B17="",N(C17)=0),"",D17/C17)</f>
        <v>0</v>
      </c>
      <c r="G17" s="48" t="str">
        <f aca="false">IF(F17="","",REPT("■",MIN(10,ROUND(F17*10,0)))&amp;REPT("□",10-MIN(10,ROUND(F17*10,0))))</f>
        <v>□□□□□□□□□□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customFormat="false" ht="21.75" hidden="false" customHeight="true" outlineLevel="0" collapsed="false">
      <c r="A18" s="1"/>
      <c r="B18" s="45" t="str">
        <f aca="false">IF(Paramètres!B24="","",Paramètres!B24)</f>
        <v>Courses alimentaires</v>
      </c>
      <c r="C18" s="46" t="n">
        <f aca="false">IF(B18="","",Paramètres!C24)</f>
        <v>550</v>
      </c>
      <c r="D18" s="46" t="n">
        <f aca="false">IF(B18="","",SUMIFS(Dépenses!$E$6:$E$305,Dépenses!$D$6:$D$305,B18))</f>
        <v>87.4</v>
      </c>
      <c r="E18" s="46" t="n">
        <f aca="false">IF(B18="","",C18-D18)</f>
        <v>462.6</v>
      </c>
      <c r="F18" s="47" t="n">
        <f aca="false">IF(OR(B18="",N(C18)=0),"",D18/C18)</f>
        <v>0.158909090909091</v>
      </c>
      <c r="G18" s="48" t="str">
        <f aca="false">IF(F18="","",REPT("■",MIN(10,ROUND(F18*10,0)))&amp;REPT("□",10-MIN(10,ROUND(F18*10,0))))</f>
        <v>■■□□□□□□□□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customFormat="false" ht="21.75" hidden="false" customHeight="true" outlineLevel="0" collapsed="false">
      <c r="A19" s="1"/>
      <c r="B19" s="45" t="str">
        <f aca="false">IF(Paramètres!B25="","",Paramètres!B25)</f>
        <v>Couches, hygiène, puériculture</v>
      </c>
      <c r="C19" s="46" t="n">
        <f aca="false">IF(B19="","",Paramètres!C25)</f>
        <v>60</v>
      </c>
      <c r="D19" s="46" t="n">
        <f aca="false">IF(B19="","",SUMIFS(Dépenses!$E$6:$E$305,Dépenses!$D$6:$D$305,B19))</f>
        <v>18.9</v>
      </c>
      <c r="E19" s="46" t="n">
        <f aca="false">IF(B19="","",C19-D19)</f>
        <v>41.1</v>
      </c>
      <c r="F19" s="47" t="n">
        <f aca="false">IF(OR(B19="",N(C19)=0),"",D19/C19)</f>
        <v>0.315</v>
      </c>
      <c r="G19" s="48" t="str">
        <f aca="false">IF(F19="","",REPT("■",MIN(10,ROUND(F19*10,0)))&amp;REPT("□",10-MIN(10,ROUND(F19*10,0))))</f>
        <v>■■■□□□□□□□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customFormat="false" ht="21.75" hidden="false" customHeight="true" outlineLevel="0" collapsed="false">
      <c r="A20" s="1"/>
      <c r="B20" s="45" t="str">
        <f aca="false">IF(Paramètres!B26="","",Paramètres!B26)</f>
        <v>Vêtements enfants</v>
      </c>
      <c r="C20" s="46" t="n">
        <f aca="false">IF(B20="","",Paramètres!C26)</f>
        <v>50</v>
      </c>
      <c r="D20" s="46" t="n">
        <f aca="false">IF(B20="","",SUMIFS(Dépenses!$E$6:$E$305,Dépenses!$D$6:$D$305,B20))</f>
        <v>0</v>
      </c>
      <c r="E20" s="46" t="n">
        <f aca="false">IF(B20="","",C20-D20)</f>
        <v>50</v>
      </c>
      <c r="F20" s="47" t="n">
        <f aca="false">IF(OR(B20="",N(C20)=0),"",D20/C20)</f>
        <v>0</v>
      </c>
      <c r="G20" s="48" t="str">
        <f aca="false">IF(F20="","",REPT("■",MIN(10,ROUND(F20*10,0)))&amp;REPT("□",10-MIN(10,ROUND(F20*10,0))))</f>
        <v>□□□□□□□□□□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customFormat="false" ht="21.75" hidden="false" customHeight="true" outlineLevel="0" collapsed="false">
      <c r="A21" s="1"/>
      <c r="B21" s="45" t="str">
        <f aca="false">IF(Paramètres!B27="","",Paramètres!B27)</f>
        <v>Activités et loisirs enfants</v>
      </c>
      <c r="C21" s="46" t="n">
        <f aca="false">IF(B21="","",Paramètres!C27)</f>
        <v>40</v>
      </c>
      <c r="D21" s="46" t="n">
        <f aca="false">IF(B21="","",SUMIFS(Dépenses!$E$6:$E$305,Dépenses!$D$6:$D$305,B21))</f>
        <v>25</v>
      </c>
      <c r="E21" s="46" t="n">
        <f aca="false">IF(B21="","",C21-D21)</f>
        <v>15</v>
      </c>
      <c r="F21" s="47" t="n">
        <f aca="false">IF(OR(B21="",N(C21)=0),"",D21/C21)</f>
        <v>0.625</v>
      </c>
      <c r="G21" s="48" t="str">
        <f aca="false">IF(F21="","",REPT("■",MIN(10,ROUND(F21*10,0)))&amp;REPT("□",10-MIN(10,ROUND(F21*10,0))))</f>
        <v>■■■■■■□□□□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customFormat="false" ht="21.75" hidden="false" customHeight="true" outlineLevel="0" collapsed="false">
      <c r="A22" s="1"/>
      <c r="B22" s="45" t="str">
        <f aca="false">IF(Paramètres!B28="","",Paramètres!B28)</f>
        <v>Santé / pharmacie</v>
      </c>
      <c r="C22" s="46" t="n">
        <f aca="false">IF(B22="","",Paramètres!C28)</f>
        <v>30</v>
      </c>
      <c r="D22" s="46" t="n">
        <f aca="false">IF(B22="","",SUMIFS(Dépenses!$E$6:$E$305,Dépenses!$D$6:$D$305,B22))</f>
        <v>0</v>
      </c>
      <c r="E22" s="46" t="n">
        <f aca="false">IF(B22="","",C22-D22)</f>
        <v>30</v>
      </c>
      <c r="F22" s="47" t="n">
        <f aca="false">IF(OR(B22="",N(C22)=0),"",D22/C22)</f>
        <v>0</v>
      </c>
      <c r="G22" s="48" t="str">
        <f aca="false">IF(F22="","",REPT("■",MIN(10,ROUND(F22*10,0)))&amp;REPT("□",10-MIN(10,ROUND(F22*10,0))))</f>
        <v>□□□□□□□□□□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customFormat="false" ht="21.75" hidden="false" customHeight="true" outlineLevel="0" collapsed="false">
      <c r="A23" s="1"/>
      <c r="B23" s="45" t="str">
        <f aca="false">IF(Paramètres!B29="","",Paramètres!B29)</f>
        <v>Transport / carburant</v>
      </c>
      <c r="C23" s="46" t="n">
        <f aca="false">IF(B23="","",Paramètres!C29)</f>
        <v>150</v>
      </c>
      <c r="D23" s="46" t="n">
        <f aca="false">IF(B23="","",SUMIFS(Dépenses!$E$6:$E$305,Dépenses!$D$6:$D$305,B23))</f>
        <v>0</v>
      </c>
      <c r="E23" s="46" t="n">
        <f aca="false">IF(B23="","",C23-D23)</f>
        <v>150</v>
      </c>
      <c r="F23" s="47" t="n">
        <f aca="false">IF(OR(B23="",N(C23)=0),"",D23/C23)</f>
        <v>0</v>
      </c>
      <c r="G23" s="48" t="str">
        <f aca="false">IF(F23="","",REPT("■",MIN(10,ROUND(F23*10,0)))&amp;REPT("□",10-MIN(10,ROUND(F23*10,0))))</f>
        <v>□□□□□□□□□□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customFormat="false" ht="21.75" hidden="false" customHeight="true" outlineLevel="0" collapsed="false">
      <c r="A24" s="1"/>
      <c r="B24" s="45" t="str">
        <f aca="false">IF(Paramètres!B30="","",Paramètres!B30)</f>
        <v>Sorties et loisirs adultes</v>
      </c>
      <c r="C24" s="46" t="n">
        <f aca="false">IF(B24="","",Paramètres!C30)</f>
        <v>60</v>
      </c>
      <c r="D24" s="46" t="n">
        <f aca="false">IF(B24="","",SUMIFS(Dépenses!$E$6:$E$305,Dépenses!$D$6:$D$305,B24))</f>
        <v>0</v>
      </c>
      <c r="E24" s="46" t="n">
        <f aca="false">IF(B24="","",C24-D24)</f>
        <v>60</v>
      </c>
      <c r="F24" s="47" t="n">
        <f aca="false">IF(OR(B24="",N(C24)=0),"",D24/C24)</f>
        <v>0</v>
      </c>
      <c r="G24" s="48" t="str">
        <f aca="false">IF(F24="","",REPT("■",MIN(10,ROUND(F24*10,0)))&amp;REPT("□",10-MIN(10,ROUND(F24*10,0))))</f>
        <v>□□□□□□□□□□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21.75" hidden="false" customHeight="true" outlineLevel="0" collapsed="false">
      <c r="A25" s="1"/>
      <c r="B25" s="45" t="str">
        <f aca="false">IF(Paramètres!B31="","",Paramètres!B31)</f>
        <v>Cadeaux et anniversaires</v>
      </c>
      <c r="C25" s="46" t="n">
        <f aca="false">IF(B25="","",Paramètres!C31)</f>
        <v>30</v>
      </c>
      <c r="D25" s="46" t="n">
        <f aca="false">IF(B25="","",SUMIFS(Dépenses!$E$6:$E$305,Dépenses!$D$6:$D$305,B25))</f>
        <v>0</v>
      </c>
      <c r="E25" s="46" t="n">
        <f aca="false">IF(B25="","",C25-D25)</f>
        <v>30</v>
      </c>
      <c r="F25" s="47" t="n">
        <f aca="false">IF(OR(B25="",N(C25)=0),"",D25/C25)</f>
        <v>0</v>
      </c>
      <c r="G25" s="48" t="str">
        <f aca="false">IF(F25="","",REPT("■",MIN(10,ROUND(F25*10,0)))&amp;REPT("□",10-MIN(10,ROUND(F25*10,0))))</f>
        <v>□□□□□□□□□□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customFormat="false" ht="21.75" hidden="false" customHeight="true" outlineLevel="0" collapsed="false">
      <c r="A26" s="1"/>
      <c r="B26" s="45" t="str">
        <f aca="false">IF(Paramètres!B32="","",Paramètres!B32)</f>
        <v>Abonnements (streaming, etc.)</v>
      </c>
      <c r="C26" s="46" t="n">
        <f aca="false">IF(B26="","",Paramètres!C32)</f>
        <v>25</v>
      </c>
      <c r="D26" s="46" t="n">
        <f aca="false">IF(B26="","",SUMIFS(Dépenses!$E$6:$E$305,Dépenses!$D$6:$D$305,B26))</f>
        <v>0</v>
      </c>
      <c r="E26" s="46" t="n">
        <f aca="false">IF(B26="","",C26-D26)</f>
        <v>25</v>
      </c>
      <c r="F26" s="47" t="n">
        <f aca="false">IF(OR(B26="",N(C26)=0),"",D26/C26)</f>
        <v>0</v>
      </c>
      <c r="G26" s="48" t="str">
        <f aca="false">IF(F26="","",REPT("■",MIN(10,ROUND(F26*10,0)))&amp;REPT("□",10-MIN(10,ROUND(F26*10,0))))</f>
        <v>□□□□□□□□□□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customFormat="false" ht="21.75" hidden="false" customHeight="true" outlineLevel="0" collapsed="false">
      <c r="A27" s="1"/>
      <c r="B27" s="45" t="str">
        <f aca="false">IF(Paramètres!B33="","",Paramètres!B33)</f>
        <v>Imprévus</v>
      </c>
      <c r="C27" s="46" t="n">
        <f aca="false">IF(B27="","",Paramètres!C33)</f>
        <v>50</v>
      </c>
      <c r="D27" s="46" t="n">
        <f aca="false">IF(B27="","",SUMIFS(Dépenses!$E$6:$E$305,Dépenses!$D$6:$D$305,B27))</f>
        <v>0</v>
      </c>
      <c r="E27" s="46" t="n">
        <f aca="false">IF(B27="","",C27-D27)</f>
        <v>50</v>
      </c>
      <c r="F27" s="47" t="n">
        <f aca="false">IF(OR(B27="",N(C27)=0),"",D27/C27)</f>
        <v>0</v>
      </c>
      <c r="G27" s="48" t="str">
        <f aca="false">IF(F27="","",REPT("■",MIN(10,ROUND(F27*10,0)))&amp;REPT("□",10-MIN(10,ROUND(F27*10,0))))</f>
        <v>□□□□□□□□□□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customFormat="false" ht="21.75" hidden="false" customHeight="true" outlineLevel="0" collapsed="false">
      <c r="A28" s="1"/>
      <c r="B28" s="45" t="str">
        <f aca="false">IF(Paramètres!B34="","",Paramètres!B34)</f>
        <v/>
      </c>
      <c r="C28" s="46" t="str">
        <f aca="false">IF(B28="","",Paramètres!C34)</f>
        <v/>
      </c>
      <c r="D28" s="46" t="str">
        <f aca="false">IF(B28="","",SUMIFS(Dépenses!$E$6:$E$305,Dépenses!$D$6:$D$305,B28))</f>
        <v/>
      </c>
      <c r="E28" s="46" t="str">
        <f aca="false">IF(B28="","",C28-D28)</f>
        <v/>
      </c>
      <c r="F28" s="47" t="str">
        <f aca="false">IF(OR(B28="",N(C28)=0),"",D28/C28)</f>
        <v/>
      </c>
      <c r="G28" s="48" t="str">
        <f aca="false">IF(F28="","",REPT("■",MIN(10,ROUND(F28*10,0)))&amp;REPT("□",10-MIN(10,ROUND(F28*10,0))))</f>
        <v/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customFormat="false" ht="21.75" hidden="false" customHeight="true" outlineLevel="0" collapsed="false">
      <c r="A29" s="1"/>
      <c r="B29" s="45" t="str">
        <f aca="false">IF(Paramètres!B35="","",Paramètres!B35)</f>
        <v/>
      </c>
      <c r="C29" s="46" t="str">
        <f aca="false">IF(B29="","",Paramètres!C35)</f>
        <v/>
      </c>
      <c r="D29" s="46" t="str">
        <f aca="false">IF(B29="","",SUMIFS(Dépenses!$E$6:$E$305,Dépenses!$D$6:$D$305,B29))</f>
        <v/>
      </c>
      <c r="E29" s="46" t="str">
        <f aca="false">IF(B29="","",C29-D29)</f>
        <v/>
      </c>
      <c r="F29" s="47" t="str">
        <f aca="false">IF(OR(B29="",N(C29)=0),"",D29/C29)</f>
        <v/>
      </c>
      <c r="G29" s="48" t="str">
        <f aca="false">IF(F29="","",REPT("■",MIN(10,ROUND(F29*10,0)))&amp;REPT("□",10-MIN(10,ROUND(F29*10,0))))</f>
        <v/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customFormat="false" ht="21.75" hidden="false" customHeight="true" outlineLevel="0" collapsed="false">
      <c r="A30" s="1"/>
      <c r="B30" s="45" t="str">
        <f aca="false">IF(Paramètres!B36="","",Paramètres!B36)</f>
        <v/>
      </c>
      <c r="C30" s="46" t="str">
        <f aca="false">IF(B30="","",Paramètres!C36)</f>
        <v/>
      </c>
      <c r="D30" s="46" t="str">
        <f aca="false">IF(B30="","",SUMIFS(Dépenses!$E$6:$E$305,Dépenses!$D$6:$D$305,B30))</f>
        <v/>
      </c>
      <c r="E30" s="46" t="str">
        <f aca="false">IF(B30="","",C30-D30)</f>
        <v/>
      </c>
      <c r="F30" s="47" t="str">
        <f aca="false">IF(OR(B30="",N(C30)=0),"",D30/C30)</f>
        <v/>
      </c>
      <c r="G30" s="48" t="str">
        <f aca="false">IF(F30="","",REPT("■",MIN(10,ROUND(F30*10,0)))&amp;REPT("□",10-MIN(10,ROUND(F30*10,0))))</f>
        <v/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customFormat="false" ht="21.75" hidden="false" customHeight="true" outlineLevel="0" collapsed="false">
      <c r="A31" s="1"/>
      <c r="B31" s="45" t="str">
        <f aca="false">IF(Paramètres!B37="","",Paramètres!B37)</f>
        <v/>
      </c>
      <c r="C31" s="46" t="str">
        <f aca="false">IF(B31="","",Paramètres!C37)</f>
        <v/>
      </c>
      <c r="D31" s="46" t="str">
        <f aca="false">IF(B31="","",SUMIFS(Dépenses!$E$6:$E$305,Dépenses!$D$6:$D$305,B31))</f>
        <v/>
      </c>
      <c r="E31" s="46" t="str">
        <f aca="false">IF(B31="","",C31-D31)</f>
        <v/>
      </c>
      <c r="F31" s="47" t="str">
        <f aca="false">IF(OR(B31="",N(C31)=0),"",D31/C31)</f>
        <v/>
      </c>
      <c r="G31" s="48" t="str">
        <f aca="false">IF(F31="","",REPT("■",MIN(10,ROUND(F31*10,0)))&amp;REPT("□",10-MIN(10,ROUND(F31*10,0))))</f>
        <v/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24" hidden="false" customHeight="true" outlineLevel="0" collapsed="false">
      <c r="A32" s="1"/>
      <c r="B32" s="23" t="s">
        <v>76</v>
      </c>
      <c r="C32" s="49" t="n">
        <f aca="false">SUM(C12:C31)</f>
        <v>2545</v>
      </c>
      <c r="D32" s="49" t="n">
        <f aca="false">SUM(D12:D31)</f>
        <v>1129.7</v>
      </c>
      <c r="E32" s="49" t="n">
        <f aca="false">SUM(E12:E31)</f>
        <v>1415.3</v>
      </c>
      <c r="F32" s="50" t="n">
        <f aca="false">IF(C32=0,"",D32/C32)</f>
        <v>0.443889980353635</v>
      </c>
      <c r="G32" s="26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15" hidden="false" customHeight="false" outlineLevel="0" collapsed="false">
      <c r="A33" s="1"/>
      <c r="B33" s="27" t="s">
        <v>77</v>
      </c>
      <c r="C33" s="1"/>
      <c r="D33" s="51" t="n">
        <f aca="false">C6-D32</f>
        <v>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15" hidden="false" customHeight="false" outlineLevel="0" collapsed="false">
      <c r="A35" s="1"/>
      <c r="B35" s="27" t="s">
        <v>78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</sheetData>
  <mergeCells count="6">
    <mergeCell ref="C5:D5"/>
    <mergeCell ref="E5:G5"/>
    <mergeCell ref="C6:D6"/>
    <mergeCell ref="E6:G6"/>
    <mergeCell ref="C8:G8"/>
    <mergeCell ref="C9:G9"/>
  </mergeCells>
  <conditionalFormatting sqref="B12:G31">
    <cfRule type="expression" priority="2" aboveAverage="0" equalAverage="0" bottom="0" percent="0" rank="0" text="" dxfId="0">
      <formula>AND($B12&lt;&gt;"",N($F12)&gt;1)</formula>
    </cfRule>
    <cfRule type="expression" priority="3" aboveAverage="0" equalAverage="0" bottom="0" percent="0" rank="0" text="" dxfId="1">
      <formula>AND($B12&lt;&gt;"",N($F12)&gt;=0.8,N($F12)&lt;=1)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3.75" hidden="false" customHeight="true" outlineLevel="0" collapsed="false">
      <c r="A2" s="1"/>
      <c r="B2" s="15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9.5" hidden="false" customHeight="true" outlineLevel="0" collapsed="false">
      <c r="A3" s="1"/>
      <c r="B3" s="16" t="s">
        <v>80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Format="false" ht="19.5" hidden="false" customHeight="true" outlineLevel="0" collapsed="false">
      <c r="A5" s="1"/>
      <c r="B5" s="40" t="s">
        <v>81</v>
      </c>
      <c r="C5" s="40"/>
      <c r="D5" s="40" t="s">
        <v>82</v>
      </c>
      <c r="E5" s="4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Format="false" ht="27.75" hidden="false" customHeight="true" outlineLevel="0" collapsed="false">
      <c r="A6" s="1"/>
      <c r="B6" s="43" t="str">
        <f aca="false">COUNTIF(D11:D40,"Oui")&amp;" / 30"</f>
        <v>0 / 30</v>
      </c>
      <c r="C6" s="43"/>
      <c r="D6" s="42" t="n">
        <f aca="false">SUM(E11:E40)</f>
        <v>0</v>
      </c>
      <c r="E6" s="4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7.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Format="false" ht="19.5" hidden="false" customHeight="true" outlineLevel="0" collapsed="false">
      <c r="A8" s="1"/>
      <c r="B8" s="2" t="s">
        <v>83</v>
      </c>
      <c r="C8" s="2"/>
      <c r="D8" s="2"/>
      <c r="E8" s="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Format="false" ht="7.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customFormat="false" ht="25.5" hidden="false" customHeight="true" outlineLevel="0" collapsed="false">
      <c r="A10" s="1"/>
      <c r="B10" s="20" t="s">
        <v>84</v>
      </c>
      <c r="C10" s="21" t="s">
        <v>85</v>
      </c>
      <c r="D10" s="21" t="s">
        <v>86</v>
      </c>
      <c r="E10" s="21" t="s">
        <v>87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customFormat="false" ht="24" hidden="false" customHeight="true" outlineLevel="0" collapsed="false">
      <c r="A11" s="1"/>
      <c r="B11" s="52" t="n">
        <v>1</v>
      </c>
      <c r="C11" s="53" t="s">
        <v>88</v>
      </c>
      <c r="D11" s="25"/>
      <c r="E11" s="54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customFormat="false" ht="24" hidden="false" customHeight="true" outlineLevel="0" collapsed="false">
      <c r="A12" s="1"/>
      <c r="B12" s="52" t="n">
        <v>2</v>
      </c>
      <c r="C12" s="53" t="s">
        <v>89</v>
      </c>
      <c r="D12" s="25"/>
      <c r="E12" s="54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customFormat="false" ht="24" hidden="false" customHeight="true" outlineLevel="0" collapsed="false">
      <c r="A13" s="1"/>
      <c r="B13" s="52" t="n">
        <v>3</v>
      </c>
      <c r="C13" s="53" t="s">
        <v>90</v>
      </c>
      <c r="D13" s="25"/>
      <c r="E13" s="54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customFormat="false" ht="24" hidden="false" customHeight="true" outlineLevel="0" collapsed="false">
      <c r="A14" s="1"/>
      <c r="B14" s="52" t="n">
        <v>4</v>
      </c>
      <c r="C14" s="53" t="s">
        <v>91</v>
      </c>
      <c r="D14" s="25"/>
      <c r="E14" s="54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customFormat="false" ht="24" hidden="false" customHeight="true" outlineLevel="0" collapsed="false">
      <c r="A15" s="1"/>
      <c r="B15" s="52" t="n">
        <v>5</v>
      </c>
      <c r="C15" s="53" t="s">
        <v>92</v>
      </c>
      <c r="D15" s="25"/>
      <c r="E15" s="54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customFormat="false" ht="24" hidden="false" customHeight="true" outlineLevel="0" collapsed="false">
      <c r="A16" s="1"/>
      <c r="B16" s="52" t="n">
        <v>6</v>
      </c>
      <c r="C16" s="53" t="s">
        <v>93</v>
      </c>
      <c r="D16" s="25"/>
      <c r="E16" s="54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customFormat="false" ht="24" hidden="false" customHeight="true" outlineLevel="0" collapsed="false">
      <c r="A17" s="1"/>
      <c r="B17" s="52" t="n">
        <v>7</v>
      </c>
      <c r="C17" s="53" t="s">
        <v>94</v>
      </c>
      <c r="D17" s="25"/>
      <c r="E17" s="54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customFormat="false" ht="24" hidden="false" customHeight="true" outlineLevel="0" collapsed="false">
      <c r="A18" s="1"/>
      <c r="B18" s="52" t="n">
        <v>8</v>
      </c>
      <c r="C18" s="53" t="s">
        <v>95</v>
      </c>
      <c r="D18" s="25"/>
      <c r="E18" s="54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customFormat="false" ht="24" hidden="false" customHeight="true" outlineLevel="0" collapsed="false">
      <c r="A19" s="1"/>
      <c r="B19" s="52" t="n">
        <v>9</v>
      </c>
      <c r="C19" s="53" t="s">
        <v>96</v>
      </c>
      <c r="D19" s="25"/>
      <c r="E19" s="54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customFormat="false" ht="24" hidden="false" customHeight="true" outlineLevel="0" collapsed="false">
      <c r="A20" s="1"/>
      <c r="B20" s="52" t="n">
        <v>10</v>
      </c>
      <c r="C20" s="53" t="s">
        <v>97</v>
      </c>
      <c r="D20" s="25"/>
      <c r="E20" s="5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customFormat="false" ht="24" hidden="false" customHeight="true" outlineLevel="0" collapsed="false">
      <c r="A21" s="1"/>
      <c r="B21" s="52" t="n">
        <v>11</v>
      </c>
      <c r="C21" s="53" t="s">
        <v>98</v>
      </c>
      <c r="D21" s="25"/>
      <c r="E21" s="54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customFormat="false" ht="24" hidden="false" customHeight="true" outlineLevel="0" collapsed="false">
      <c r="A22" s="1"/>
      <c r="B22" s="52" t="n">
        <v>12</v>
      </c>
      <c r="C22" s="53" t="s">
        <v>99</v>
      </c>
      <c r="D22" s="25"/>
      <c r="E22" s="54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customFormat="false" ht="24" hidden="false" customHeight="true" outlineLevel="0" collapsed="false">
      <c r="A23" s="1"/>
      <c r="B23" s="52" t="n">
        <v>13</v>
      </c>
      <c r="C23" s="53" t="s">
        <v>100</v>
      </c>
      <c r="D23" s="25"/>
      <c r="E23" s="54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customFormat="false" ht="24" hidden="false" customHeight="true" outlineLevel="0" collapsed="false">
      <c r="A24" s="1"/>
      <c r="B24" s="52" t="n">
        <v>14</v>
      </c>
      <c r="C24" s="53" t="s">
        <v>92</v>
      </c>
      <c r="D24" s="25"/>
      <c r="E24" s="5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customFormat="false" ht="24" hidden="false" customHeight="true" outlineLevel="0" collapsed="false">
      <c r="A25" s="1"/>
      <c r="B25" s="52" t="n">
        <v>15</v>
      </c>
      <c r="C25" s="53" t="s">
        <v>101</v>
      </c>
      <c r="D25" s="25"/>
      <c r="E25" s="5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customFormat="false" ht="24" hidden="false" customHeight="true" outlineLevel="0" collapsed="false">
      <c r="A26" s="1"/>
      <c r="B26" s="52" t="n">
        <v>16</v>
      </c>
      <c r="C26" s="53" t="s">
        <v>102</v>
      </c>
      <c r="D26" s="25"/>
      <c r="E26" s="54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customFormat="false" ht="24" hidden="false" customHeight="true" outlineLevel="0" collapsed="false">
      <c r="A27" s="1"/>
      <c r="B27" s="52" t="n">
        <v>17</v>
      </c>
      <c r="C27" s="53" t="s">
        <v>103</v>
      </c>
      <c r="D27" s="25"/>
      <c r="E27" s="54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customFormat="false" ht="24" hidden="false" customHeight="true" outlineLevel="0" collapsed="false">
      <c r="A28" s="1"/>
      <c r="B28" s="52" t="n">
        <v>18</v>
      </c>
      <c r="C28" s="53" t="s">
        <v>104</v>
      </c>
      <c r="D28" s="25"/>
      <c r="E28" s="54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customFormat="false" ht="24" hidden="false" customHeight="true" outlineLevel="0" collapsed="false">
      <c r="A29" s="1"/>
      <c r="B29" s="52" t="n">
        <v>19</v>
      </c>
      <c r="C29" s="53" t="s">
        <v>105</v>
      </c>
      <c r="D29" s="25"/>
      <c r="E29" s="54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customFormat="false" ht="24" hidden="false" customHeight="true" outlineLevel="0" collapsed="false">
      <c r="A30" s="1"/>
      <c r="B30" s="52" t="n">
        <v>20</v>
      </c>
      <c r="C30" s="53" t="s">
        <v>92</v>
      </c>
      <c r="D30" s="25"/>
      <c r="E30" s="54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customFormat="false" ht="24" hidden="false" customHeight="true" outlineLevel="0" collapsed="false">
      <c r="A31" s="1"/>
      <c r="B31" s="52" t="n">
        <v>21</v>
      </c>
      <c r="C31" s="53" t="s">
        <v>106</v>
      </c>
      <c r="D31" s="25"/>
      <c r="E31" s="54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24" hidden="false" customHeight="true" outlineLevel="0" collapsed="false">
      <c r="A32" s="1"/>
      <c r="B32" s="52" t="n">
        <v>22</v>
      </c>
      <c r="C32" s="53" t="s">
        <v>107</v>
      </c>
      <c r="D32" s="25"/>
      <c r="E32" s="54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24" hidden="false" customHeight="true" outlineLevel="0" collapsed="false">
      <c r="A33" s="1"/>
      <c r="B33" s="52" t="n">
        <v>23</v>
      </c>
      <c r="C33" s="53" t="s">
        <v>108</v>
      </c>
      <c r="D33" s="25"/>
      <c r="E33" s="54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24" hidden="false" customHeight="true" outlineLevel="0" collapsed="false">
      <c r="A34" s="1"/>
      <c r="B34" s="52" t="n">
        <v>24</v>
      </c>
      <c r="C34" s="53" t="s">
        <v>109</v>
      </c>
      <c r="D34" s="25"/>
      <c r="E34" s="54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24" hidden="false" customHeight="true" outlineLevel="0" collapsed="false">
      <c r="A35" s="1"/>
      <c r="B35" s="52" t="n">
        <v>25</v>
      </c>
      <c r="C35" s="53" t="s">
        <v>110</v>
      </c>
      <c r="D35" s="25"/>
      <c r="E35" s="5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24" hidden="false" customHeight="true" outlineLevel="0" collapsed="false">
      <c r="A36" s="1"/>
      <c r="B36" s="52" t="n">
        <v>26</v>
      </c>
      <c r="C36" s="53" t="s">
        <v>111</v>
      </c>
      <c r="D36" s="25"/>
      <c r="E36" s="54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24" hidden="false" customHeight="true" outlineLevel="0" collapsed="false">
      <c r="A37" s="1"/>
      <c r="B37" s="52" t="n">
        <v>27</v>
      </c>
      <c r="C37" s="53" t="s">
        <v>92</v>
      </c>
      <c r="D37" s="25"/>
      <c r="E37" s="54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24" hidden="false" customHeight="true" outlineLevel="0" collapsed="false">
      <c r="A38" s="1"/>
      <c r="B38" s="52" t="n">
        <v>28</v>
      </c>
      <c r="C38" s="53" t="s">
        <v>112</v>
      </c>
      <c r="D38" s="25"/>
      <c r="E38" s="54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24" hidden="false" customHeight="true" outlineLevel="0" collapsed="false">
      <c r="A39" s="1"/>
      <c r="B39" s="52" t="n">
        <v>29</v>
      </c>
      <c r="C39" s="53" t="s">
        <v>113</v>
      </c>
      <c r="D39" s="25"/>
      <c r="E39" s="54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24" hidden="false" customHeight="true" outlineLevel="0" collapsed="false">
      <c r="A40" s="1"/>
      <c r="B40" s="52" t="n">
        <v>30</v>
      </c>
      <c r="C40" s="53" t="s">
        <v>114</v>
      </c>
      <c r="D40" s="25"/>
      <c r="E40" s="54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</sheetData>
  <mergeCells count="5">
    <mergeCell ref="B5:C5"/>
    <mergeCell ref="D5:E5"/>
    <mergeCell ref="B6:C6"/>
    <mergeCell ref="D6:E6"/>
    <mergeCell ref="B8:E8"/>
  </mergeCells>
  <conditionalFormatting sqref="B11:E40">
    <cfRule type="expression" priority="2" aboveAverage="0" equalAverage="0" bottom="0" percent="0" rank="0" text="" dxfId="2">
      <formula>$D11="Oui"</formula>
    </cfRule>
  </conditionalFormatting>
  <dataValidations count="1">
    <dataValidation allowBlank="true" errorStyle="stop" operator="between" showDropDown="false" showErrorMessage="false" showInputMessage="false" sqref="D11:D4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2026-10-21T00:32:27Z</dcterms:created>
  <dc:creator>openpyxl</dc:creator>
  <dc:description/>
  <dc:language>en-US</dc:language>
  <cp:lastModifiedBy/>
  <dcterms:modified xsi:type="dcterms:W3CDTF">2026-10-21T00:32:28Z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