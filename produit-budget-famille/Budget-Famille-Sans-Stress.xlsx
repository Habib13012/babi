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Paramètres" sheetId="2" state="visible" r:id="rId4"/>
    <sheet name="Dépenses" sheetId="3" state="visible" r:id="rId5"/>
    <sheet name="Tableau de bord" sheetId="4" state="visible" r:id="rId6"/>
    <sheet name="Défi 30 jou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<sst xmlns="http://schemas.openxmlformats.org/spreadsheetml/2006/main" count="129" uniqueCount="105">
  <si>
    <t xml:space="preserve">Budget Famille Sans Stress</t>
  </si>
  <si>
    <t xml:space="preserve">Tableau de budget familial automatique : Excel, Google Sheets ou Numbers</t>
  </si>
  <si>
    <t xml:space="preserve">Comment ça marche, en 4 étapes</t>
  </si>
  <si>
    <t xml:space="preserve">1. Onglet « Paramètres » : indiquez le mois, vos revenus et le budget prévu pour chaque catégorie.</t>
  </si>
  <si>
    <t xml:space="preserve">2. Onglet « Dépenses » : notez chaque dépense (date, description, catégorie dans la liste, montant).</t>
  </si>
  <si>
    <t xml:space="preserve">3. Onglet « Tableau de bord » : tout se calcule tout seul (dépensé, reste, dépassements en rouge, reste à vivre).</t>
  </si>
  <si>
    <t xml:space="preserve">4. Onglet « Défi 30 jours » : cochez « Oui » chaque jour réussi et notez ce que vous avez économisé.</t>
  </si>
  <si>
    <t xml:space="preserve">Légende</t>
  </si>
  <si>
    <t xml:space="preserve">Cases jaunes = à remplir par vous. Toutes les autres cases se calculent automatiquement : ne les effacez pas.</t>
  </si>
  <si>
    <t xml:space="preserve">Les lignes d'exemple (en italique dans « Dépenses ») sont là pour vous montrer : supprimez-les avant de commencer.</t>
  </si>
  <si>
    <t xml:space="preserve">Un nouveau mois ?</t>
  </si>
  <si>
    <t xml:space="preserve">Faites « Fichier &gt; Faire une copie » (Google Sheets) ou « Enregistrer sous » (Excel), puis videz l'onglet « Dépenses ».</t>
  </si>
  <si>
    <t xml:space="preserve">Ouvrir dans Google Sheets</t>
  </si>
  <si>
    <t xml:space="preserve">Allez sur sheets.google.com &gt; Fichier &gt; Importer &gt; Importer &gt; choisissez ce fichier. C'est gratuit.</t>
  </si>
  <si>
    <t xml:space="preserve">Paramètres du mois</t>
  </si>
  <si>
    <t xml:space="preserve">Mois</t>
  </si>
  <si>
    <t xml:space="preserve">Objectif d'épargne du mois</t>
  </si>
  <si>
    <t xml:space="preserve">Revenus</t>
  </si>
  <si>
    <t xml:space="preserve">Montant</t>
  </si>
  <si>
    <t xml:space="preserve">Salaire parent 1</t>
  </si>
  <si>
    <t xml:space="preserve">Salaire parent 2</t>
  </si>
  <si>
    <t xml:space="preserve">Allocations familiales / CAF</t>
  </si>
  <si>
    <t xml:space="preserve">Autres revenus</t>
  </si>
  <si>
    <t xml:space="preserve">Total revenus</t>
  </si>
  <si>
    <t xml:space="preserve">Catégorie de dépense</t>
  </si>
  <si>
    <t xml:space="preserve">Budget prévu</t>
  </si>
  <si>
    <t xml:space="preserve">Type</t>
  </si>
  <si>
    <t xml:space="preserve">Loyer / crédit immobilier</t>
  </si>
  <si>
    <t xml:space="preserve">Fixe</t>
  </si>
  <si>
    <t xml:space="preserve">Électricité, gaz, eau</t>
  </si>
  <si>
    <t xml:space="preserve">Internet et téléphones</t>
  </si>
  <si>
    <t xml:space="preserve">Assurances</t>
  </si>
  <si>
    <t xml:space="preserve">Crèche / nounou / garde</t>
  </si>
  <si>
    <t xml:space="preserve">Cantine et périscolaire</t>
  </si>
  <si>
    <t xml:space="preserve">Courses alimentaires</t>
  </si>
  <si>
    <t xml:space="preserve">Variable</t>
  </si>
  <si>
    <t xml:space="preserve">Couches, hygiène, puériculture</t>
  </si>
  <si>
    <t xml:space="preserve">Vêtements enfants</t>
  </si>
  <si>
    <t xml:space="preserve">Activités et loisirs enfants</t>
  </si>
  <si>
    <t xml:space="preserve">Santé / pharmacie</t>
  </si>
  <si>
    <t xml:space="preserve">Transport / carburant</t>
  </si>
  <si>
    <t xml:space="preserve">Sorties et loisirs adultes</t>
  </si>
  <si>
    <t xml:space="preserve">Cadeaux et anniversaires</t>
  </si>
  <si>
    <t xml:space="preserve">Abonnements (streaming, etc.)</t>
  </si>
  <si>
    <t xml:space="preserve">Imprévus</t>
  </si>
  <si>
    <t xml:space="preserve">Total budget prévu</t>
  </si>
  <si>
    <t xml:space="preserve">Les montants d'exemple sont fictifs : remplacez-les par les vôtres. 4 lignes vides sont prévues pour vos propres catégories.</t>
  </si>
  <si>
    <t xml:space="preserve">Journal des dépenses</t>
  </si>
  <si>
    <t xml:space="preserve">Une ligne par dépense. La catégorie se choisit dans la liste déroulante.</t>
  </si>
  <si>
    <t xml:space="preserve">Date</t>
  </si>
  <si>
    <t xml:space="preserve">Description</t>
  </si>
  <si>
    <t xml:space="preserve">Catégorie</t>
  </si>
  <si>
    <t xml:space="preserve">Payé par</t>
  </si>
  <si>
    <t xml:space="preserve">Courses supermarché</t>
  </si>
  <si>
    <t xml:space="preserve">Parent 1</t>
  </si>
  <si>
    <t xml:space="preserve">Paquet de couches</t>
  </si>
  <si>
    <t xml:space="preserve">Parent 2</t>
  </si>
  <si>
    <t xml:space="preserve">Loyer novembre</t>
  </si>
  <si>
    <t xml:space="preserve">Compte commun</t>
  </si>
  <si>
    <t xml:space="preserve">Tableau de bord du mois</t>
  </si>
  <si>
    <t xml:space="preserve">Total dépensé</t>
  </si>
  <si>
    <t xml:space="preserve">Reste à vivre (revenus − dépenses)</t>
  </si>
  <si>
    <t xml:space="preserve">Objectif d'épargne</t>
  </si>
  <si>
    <t xml:space="preserve">Objectif atteint ?</t>
  </si>
  <si>
    <t xml:space="preserve">Dépensé</t>
  </si>
  <si>
    <t xml:space="preserve">Reste</t>
  </si>
  <si>
    <t xml:space="preserve">% utilisé</t>
  </si>
  <si>
    <t xml:space="preserve">Total</t>
  </si>
  <si>
    <t xml:space="preserve">Dépenses sans catégorie reconnue</t>
  </si>
  <si>
    <t xml:space="preserve">Orange = 80 % du budget atteint · Rouge = budget dépassé</t>
  </si>
  <si>
    <t xml:space="preserve">Défi 30 jours d'économies en famille</t>
  </si>
  <si>
    <t xml:space="preserve">Un petit geste par jour. Cochez « Oui » et notez l'économie estimée.</t>
  </si>
  <si>
    <t xml:space="preserve">Jour</t>
  </si>
  <si>
    <t xml:space="preserve">Défi du jour</t>
  </si>
  <si>
    <t xml:space="preserve">Réussi ? (Oui/Non)</t>
  </si>
  <si>
    <t xml:space="preserve">Économie estimée</t>
  </si>
  <si>
    <t xml:space="preserve">Faire l'inventaire du frigo et des placards avant les courses</t>
  </si>
  <si>
    <t xml:space="preserve">Préparer une liste de courses et s'y tenir</t>
  </si>
  <si>
    <t xml:space="preserve">Repas « fond de placard » ce soir</t>
  </si>
  <si>
    <t xml:space="preserve">Résilier ou suspendre un abonnement peu utilisé</t>
  </si>
  <si>
    <t xml:space="preserve">Journée sans aucune dépense</t>
  </si>
  <si>
    <t xml:space="preserve">Préparer le goûter des enfants maison</t>
  </si>
  <si>
    <t xml:space="preserve">Comparer son forfait mobile et internet</t>
  </si>
  <si>
    <t xml:space="preserve">Vendre un vêtement ou jouet trop petit (Vinted, Leboncoin)</t>
  </si>
  <si>
    <t xml:space="preserve">Batch cooking : cuisiner 3 repas d'avance</t>
  </si>
  <si>
    <t xml:space="preserve">Sortie gratuite en famille (parc, bibliothèque, balade)</t>
  </si>
  <si>
    <t xml:space="preserve">Vérifier ses droits CAF sur caf.fr (simulateur)</t>
  </si>
  <si>
    <t xml:space="preserve">Acheter en marque distributeur pour 5 produits</t>
  </si>
  <si>
    <t xml:space="preserve">Éteindre les appareils en veille de la maison</t>
  </si>
  <si>
    <t xml:space="preserve">Emprunter au lieu d'acheter (livre, jeu, outil)</t>
  </si>
  <si>
    <t xml:space="preserve">Pique-nique au lieu du restaurant</t>
  </si>
  <si>
    <t xml:space="preserve">Utiliser une appli anti-gaspi (ex. Too Good To Go)</t>
  </si>
  <si>
    <t xml:space="preserve">Faire le point sur ses assurances</t>
  </si>
  <si>
    <t xml:space="preserve">Douches plus courtes pour toute la famille</t>
  </si>
  <si>
    <t xml:space="preserve">Organiser un troc de vêtements enfants entre parents</t>
  </si>
  <si>
    <t xml:space="preserve">Cuisiner avec les restes</t>
  </si>
  <si>
    <t xml:space="preserve">Désinstaller une appli d'achat compulsif</t>
  </si>
  <si>
    <t xml:space="preserve">Préparer les repas de la semaine à l'avance</t>
  </si>
  <si>
    <t xml:space="preserve">Comparer le prix au kilo, pas au paquet</t>
  </si>
  <si>
    <t xml:space="preserve">Après-midi jeux de société à la maison</t>
  </si>
  <si>
    <t xml:space="preserve">Revoir le budget courses du mois prochain</t>
  </si>
  <si>
    <t xml:space="preserve">Mettre l'argent économisé de côté (virement épargne)</t>
  </si>
  <si>
    <t xml:space="preserve">Faire le bilan du défi en famille et fêter ça (gratuitement !)</t>
  </si>
  <si>
    <t xml:space="preserve">Jours réussis</t>
  </si>
  <si>
    <t xml:space="preserve">Total économisé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</si>
</sst>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m\ yyyy"/>
    <numFmt numFmtId="166" formatCode="#,##0.00&quot; €&quot;;\-#,##0.00&quot; €&quot;;\-"/>
    <numFmt numFmtId="167" formatCode="dd/mm/yyyy"/>
    <numFmt numFmtId="168" formatCode="0%;\-0%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7D6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2E7D6B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1"/>
      <color rgb="FF666666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FE8CC"/>
      </patternFill>
    </fill>
    <fill>
      <patternFill patternType="solid">
        <fgColor rgb="FF2E7D6B"/>
        <bgColor rgb="FF3B879C"/>
      </patternFill>
    </fill>
    <fill>
      <patternFill patternType="solid">
        <fgColor rgb="FFE3F2EE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8D7DA"/>
        </patternFill>
      </fill>
    </dxf>
    <dxf>
      <fill>
        <patternFill>
          <bgColor rgb="FFFFE8CC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666666"/>
      <rgbColor rgb="FF800080"/>
      <rgbColor rgb="FF3B879C"/>
      <rgbColor rgb="FFB5C3DB"/>
      <rgbColor rgb="FF7A9346"/>
      <rgbColor rgb="FF7E9BC7"/>
      <rgbColor rgb="FF973F3C"/>
      <rgbColor rgb="FFFFF4C2"/>
      <rgbColor rgb="FFE3F2EE"/>
      <rgbColor rgb="FF660066"/>
      <rgbColor rgb="FFE78C41"/>
      <rgbColor rgb="FF3E6595"/>
      <rgbColor rgb="FFD0D0D0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9D9D9"/>
      <rgbColor rgb="FFD4EDDA"/>
      <rgbColor rgb="FFFFE8CC"/>
      <rgbColor rgb="FF7CBACF"/>
      <rgbColor rgb="FFDDB5B5"/>
      <rgbColor rgb="FFCA7E7D"/>
      <rgbColor rgb="FFF8D7DA"/>
      <rgbColor rgb="FF4978B1"/>
      <rgbColor rgb="FF46A1B9"/>
      <rgbColor rgb="FF91AF53"/>
      <rgbColor rgb="FFADC683"/>
      <rgbColor rgb="FFF8AA7A"/>
      <rgbColor rgb="FFC27637"/>
      <rgbColor rgb="FF775D97"/>
      <rgbColor rgb="FF9A89B2"/>
      <rgbColor rgb="FF003366"/>
      <rgbColor rgb="FF2E7D6B"/>
      <rgbColor rgb="FF003300"/>
      <rgbColor rgb="FF333300"/>
      <rgbColor rgb="FF993300"/>
      <rgbColor rgb="FFB34A48"/>
      <rgbColor rgb="FF654E7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dépenses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'Tableau de bord'!C11</c:f>
              <c:strCache>
                <c:ptCount val="1"/>
                <c:pt idx="0">
                  <c:v>Dépensé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e659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73f3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a9346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54e7f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b879c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27637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978b1"/>
              </a:solidFill>
              <a:ln w="0">
                <a:noFill/>
              </a:ln>
            </c:spPr>
          </c:dPt>
          <c:dPt>
            <c:idx val="7"/>
            <c:spPr>
              <a:solidFill>
                <a:srgbClr val="b34a48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1af53"/>
              </a:solidFill>
              <a:ln w="0">
                <a:noFill/>
              </a:ln>
            </c:spPr>
          </c:dPt>
          <c:dPt>
            <c:idx val="9"/>
            <c:spPr>
              <a:solidFill>
                <a:srgbClr val="775d97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6a1b9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e78c4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7e9bc7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ca7e7d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adc683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9a89b2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cbacf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f8aa7a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b5c3db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ddb5b5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'Tableau de bord'!$A$12:$A$31</c:f>
              <c:strCache>
                <c:ptCount val="20"/>
                <c:pt idx="0">
                  <c:v>Loyer / crédit immobilier</c:v>
                </c:pt>
                <c:pt idx="1">
                  <c:v>Électricité, gaz, eau</c:v>
                </c:pt>
                <c:pt idx="2">
                  <c:v>Internet et téléphones</c:v>
                </c:pt>
                <c:pt idx="3">
                  <c:v>Assurances</c:v>
                </c:pt>
                <c:pt idx="4">
                  <c:v>Crèche / nounou / garde</c:v>
                </c:pt>
                <c:pt idx="5">
                  <c:v>Cantine et périscolaire</c:v>
                </c:pt>
                <c:pt idx="6">
                  <c:v>Courses alimentaires</c:v>
                </c:pt>
                <c:pt idx="7">
                  <c:v>Couches, hygiène, puériculture</c:v>
                </c:pt>
                <c:pt idx="8">
                  <c:v>Vêtements enfants</c:v>
                </c:pt>
                <c:pt idx="9">
                  <c:v>Activités et loisirs enfants</c:v>
                </c:pt>
                <c:pt idx="10">
                  <c:v>Santé / pharmacie</c:v>
                </c:pt>
                <c:pt idx="11">
                  <c:v>Transport / carburant</c:v>
                </c:pt>
                <c:pt idx="12">
                  <c:v>Sorties et loisirs adultes</c:v>
                </c:pt>
                <c:pt idx="13">
                  <c:v>Cadeaux et anniversaires</c:v>
                </c:pt>
                <c:pt idx="14">
                  <c:v>Abonnements (streaming, etc.)</c:v>
                </c:pt>
                <c:pt idx="15">
                  <c:v>Imprévus</c:v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'Tableau de bord'!$C$12:$C$31</c:f>
              <c:numCache>
                <c:formatCode>#,##0.00" €";\-#,##0.00" €";\-</c:formatCode>
                <c:ptCount val="20"/>
                <c:pt idx="0">
                  <c:v>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87.4</c:v>
                </c:pt>
                <c:pt idx="7">
                  <c:v>18.9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101160</xdr:rowOff>
    </xdr:from>
    <xdr:to>
      <xdr:col>14</xdr:col>
      <xdr:colOff>147600</xdr:colOff>
      <xdr:row>21</xdr:row>
      <xdr:rowOff>81360</xdr:rowOff>
    </xdr:to>
    <xdr:graphicFrame>
      <xdr:nvGraphicFramePr>
        <xdr:cNvPr id="0" name="Chart 1"/>
        <xdr:cNvGraphicFramePr/>
      </xdr:nvGraphicFramePr>
      <xdr:xfrm>
        <a:off x="7095960" y="5716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22.05" hidden="false" customHeight="false" outlineLevel="0" collapsed="false">
      <c r="A1" s="1" t="s">
        <v>14</v>
      </c>
    </row>
    <row r="4" customFormat="false" ht="15" hidden="false" customHeight="false" outlineLevel="0" collapsed="false">
      <c r="A4" s="5" t="s">
        <v>15</v>
      </c>
      <c r="B4" s="6" t="n">
        <v>46327</v>
      </c>
    </row>
    <row r="5" customFormat="false" ht="15" hidden="false" customHeight="false" outlineLevel="0" collapsed="false">
      <c r="A5" s="5" t="s">
        <v>16</v>
      </c>
      <c r="B5" s="7" t="n">
        <v>150</v>
      </c>
    </row>
    <row r="7" customFormat="false" ht="15" hidden="false" customHeight="false" outlineLevel="0" collapsed="false">
      <c r="A7" s="8" t="s">
        <v>17</v>
      </c>
      <c r="B7" s="8" t="s">
        <v>18</v>
      </c>
    </row>
    <row r="8" customFormat="false" ht="15" hidden="false" customHeight="false" outlineLevel="0" collapsed="false">
      <c r="A8" s="9" t="s">
        <v>19</v>
      </c>
      <c r="B8" s="7" t="n">
        <v>1800</v>
      </c>
    </row>
    <row r="9" customFormat="false" ht="15" hidden="false" customHeight="false" outlineLevel="0" collapsed="false">
      <c r="A9" s="9" t="s">
        <v>20</v>
      </c>
      <c r="B9" s="7" t="n">
        <v>1500</v>
      </c>
    </row>
    <row r="10" customFormat="false" ht="15" hidden="false" customHeight="false" outlineLevel="0" collapsed="false">
      <c r="A10" s="9" t="s">
        <v>21</v>
      </c>
      <c r="B10" s="7" t="n">
        <v>150</v>
      </c>
    </row>
    <row r="11" customFormat="false" ht="15" hidden="false" customHeight="false" outlineLevel="0" collapsed="false">
      <c r="A11" s="9" t="s">
        <v>22</v>
      </c>
      <c r="B11" s="7" t="n">
        <v>0</v>
      </c>
    </row>
    <row r="12" customFormat="false" ht="15" hidden="false" customHeight="false" outlineLevel="0" collapsed="false">
      <c r="A12" s="9"/>
      <c r="B12" s="7"/>
    </row>
    <row r="13" customFormat="false" ht="15" hidden="false" customHeight="false" outlineLevel="0" collapsed="false">
      <c r="A13" s="9"/>
      <c r="B13" s="7"/>
    </row>
    <row r="14" customFormat="false" ht="15" hidden="false" customHeight="false" outlineLevel="0" collapsed="false">
      <c r="A14" s="5" t="s">
        <v>23</v>
      </c>
      <c r="B14" s="10" t="n">
        <f aca="false">SUM(B8:B13)</f>
        <v>3450</v>
      </c>
    </row>
    <row r="16" customFormat="false" ht="15" hidden="false" customHeight="false" outlineLevel="0" collapsed="false">
      <c r="A16" s="8" t="s">
        <v>24</v>
      </c>
      <c r="B16" s="8" t="s">
        <v>25</v>
      </c>
      <c r="C16" s="8" t="s">
        <v>26</v>
      </c>
    </row>
    <row r="17" customFormat="false" ht="15" hidden="false" customHeight="false" outlineLevel="0" collapsed="false">
      <c r="A17" s="9" t="s">
        <v>27</v>
      </c>
      <c r="B17" s="7" t="n">
        <v>900</v>
      </c>
      <c r="C17" s="9" t="s">
        <v>28</v>
      </c>
    </row>
    <row r="18" customFormat="false" ht="15" hidden="false" customHeight="false" outlineLevel="0" collapsed="false">
      <c r="A18" s="9" t="s">
        <v>29</v>
      </c>
      <c r="B18" s="7" t="n">
        <v>140</v>
      </c>
      <c r="C18" s="9" t="s">
        <v>28</v>
      </c>
    </row>
    <row r="19" customFormat="false" ht="15" hidden="false" customHeight="false" outlineLevel="0" collapsed="false">
      <c r="A19" s="9" t="s">
        <v>30</v>
      </c>
      <c r="B19" s="7" t="n">
        <v>50</v>
      </c>
      <c r="C19" s="9" t="s">
        <v>28</v>
      </c>
    </row>
    <row r="20" customFormat="false" ht="15" hidden="false" customHeight="false" outlineLevel="0" collapsed="false">
      <c r="A20" s="9" t="s">
        <v>31</v>
      </c>
      <c r="B20" s="7" t="n">
        <v>80</v>
      </c>
      <c r="C20" s="9" t="s">
        <v>28</v>
      </c>
    </row>
    <row r="21" customFormat="false" ht="15" hidden="false" customHeight="false" outlineLevel="0" collapsed="false">
      <c r="A21" s="9" t="s">
        <v>32</v>
      </c>
      <c r="B21" s="7" t="n">
        <v>250</v>
      </c>
      <c r="C21" s="9" t="s">
        <v>28</v>
      </c>
    </row>
    <row r="22" customFormat="false" ht="15" hidden="false" customHeight="false" outlineLevel="0" collapsed="false">
      <c r="A22" s="9" t="s">
        <v>33</v>
      </c>
      <c r="B22" s="7" t="n">
        <v>80</v>
      </c>
      <c r="C22" s="9" t="s">
        <v>28</v>
      </c>
    </row>
    <row r="23" customFormat="false" ht="15" hidden="false" customHeight="false" outlineLevel="0" collapsed="false">
      <c r="A23" s="9" t="s">
        <v>34</v>
      </c>
      <c r="B23" s="7" t="n">
        <v>550</v>
      </c>
      <c r="C23" s="9" t="s">
        <v>35</v>
      </c>
    </row>
    <row r="24" customFormat="false" ht="15" hidden="false" customHeight="false" outlineLevel="0" collapsed="false">
      <c r="A24" s="9" t="s">
        <v>36</v>
      </c>
      <c r="B24" s="7" t="n">
        <v>60</v>
      </c>
      <c r="C24" s="9" t="s">
        <v>35</v>
      </c>
    </row>
    <row r="25" customFormat="false" ht="15" hidden="false" customHeight="false" outlineLevel="0" collapsed="false">
      <c r="A25" s="9" t="s">
        <v>37</v>
      </c>
      <c r="B25" s="7" t="n">
        <v>50</v>
      </c>
      <c r="C25" s="9" t="s">
        <v>35</v>
      </c>
    </row>
    <row r="26" customFormat="false" ht="15" hidden="false" customHeight="false" outlineLevel="0" collapsed="false">
      <c r="A26" s="9" t="s">
        <v>38</v>
      </c>
      <c r="B26" s="7" t="n">
        <v>40</v>
      </c>
      <c r="C26" s="9" t="s">
        <v>35</v>
      </c>
    </row>
    <row r="27" customFormat="false" ht="15" hidden="false" customHeight="false" outlineLevel="0" collapsed="false">
      <c r="A27" s="9" t="s">
        <v>39</v>
      </c>
      <c r="B27" s="7" t="n">
        <v>30</v>
      </c>
      <c r="C27" s="9" t="s">
        <v>35</v>
      </c>
    </row>
    <row r="28" customFormat="false" ht="15" hidden="false" customHeight="false" outlineLevel="0" collapsed="false">
      <c r="A28" s="9" t="s">
        <v>40</v>
      </c>
      <c r="B28" s="7" t="n">
        <v>150</v>
      </c>
      <c r="C28" s="9" t="s">
        <v>35</v>
      </c>
    </row>
    <row r="29" customFormat="false" ht="15" hidden="false" customHeight="false" outlineLevel="0" collapsed="false">
      <c r="A29" s="9" t="s">
        <v>41</v>
      </c>
      <c r="B29" s="7" t="n">
        <v>60</v>
      </c>
      <c r="C29" s="9" t="s">
        <v>35</v>
      </c>
    </row>
    <row r="30" customFormat="false" ht="15" hidden="false" customHeight="false" outlineLevel="0" collapsed="false">
      <c r="A30" s="9" t="s">
        <v>42</v>
      </c>
      <c r="B30" s="7" t="n">
        <v>30</v>
      </c>
      <c r="C30" s="9" t="s">
        <v>35</v>
      </c>
    </row>
    <row r="31" customFormat="false" ht="15" hidden="false" customHeight="false" outlineLevel="0" collapsed="false">
      <c r="A31" s="9" t="s">
        <v>43</v>
      </c>
      <c r="B31" s="7" t="n">
        <v>25</v>
      </c>
      <c r="C31" s="9" t="s">
        <v>35</v>
      </c>
    </row>
    <row r="32" customFormat="false" ht="15" hidden="false" customHeight="false" outlineLevel="0" collapsed="false">
      <c r="A32" s="9" t="s">
        <v>44</v>
      </c>
      <c r="B32" s="7" t="n">
        <v>50</v>
      </c>
      <c r="C32" s="9" t="s">
        <v>35</v>
      </c>
    </row>
    <row r="33" customFormat="false" ht="15" hidden="false" customHeight="false" outlineLevel="0" collapsed="false">
      <c r="A33" s="9"/>
      <c r="B33" s="7"/>
      <c r="C33" s="9"/>
    </row>
    <row r="34" customFormat="false" ht="15" hidden="false" customHeight="false" outlineLevel="0" collapsed="false">
      <c r="A34" s="9"/>
      <c r="B34" s="7"/>
      <c r="C34" s="9"/>
    </row>
    <row r="35" customFormat="false" ht="15" hidden="false" customHeight="false" outlineLevel="0" collapsed="false">
      <c r="A35" s="9"/>
      <c r="B35" s="7"/>
      <c r="C35" s="9"/>
    </row>
    <row r="36" customFormat="false" ht="15" hidden="false" customHeight="false" outlineLevel="0" collapsed="false">
      <c r="A36" s="9"/>
      <c r="B36" s="7"/>
      <c r="C36" s="9"/>
    </row>
    <row r="37" customFormat="false" ht="15" hidden="false" customHeight="false" outlineLevel="0" collapsed="false">
      <c r="A37" s="5" t="s">
        <v>45</v>
      </c>
      <c r="B37" s="10" t="n">
        <f aca="false">SUM(B17:B36)</f>
        <v>2545</v>
      </c>
    </row>
    <row r="39" customFormat="false" ht="15" hidden="false" customHeight="false" outlineLevel="0" collapsed="false">
      <c r="A39" s="11" t="s">
        <v>46</v>
      </c>
    </row>
  </sheetData>
  <dataValidations count="1">
    <dataValidation allowBlank="true" errorStyle="stop" operator="between" showDropDown="false" showErrorMessage="false" showInputMessage="false" sqref="C17:C36" type="list">
      <formula1>"Fixe,Variable"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22.0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8" t="s">
        <v>49</v>
      </c>
      <c r="B4" s="8" t="s">
        <v>50</v>
      </c>
      <c r="C4" s="8" t="s">
        <v>51</v>
      </c>
      <c r="D4" s="8" t="s">
        <v>18</v>
      </c>
      <c r="E4" s="8" t="s">
        <v>52</v>
      </c>
    </row>
    <row r="5" customFormat="false" ht="15" hidden="false" customHeight="false" outlineLevel="0" collapsed="false">
      <c r="A5" s="12" t="n">
        <v>46328</v>
      </c>
      <c r="B5" s="13" t="s">
        <v>53</v>
      </c>
      <c r="C5" s="13" t="s">
        <v>34</v>
      </c>
      <c r="D5" s="14" t="n">
        <v>87.4</v>
      </c>
      <c r="E5" s="13" t="s">
        <v>54</v>
      </c>
    </row>
    <row r="6" customFormat="false" ht="15" hidden="false" customHeight="false" outlineLevel="0" collapsed="false">
      <c r="A6" s="12" t="n">
        <v>46329</v>
      </c>
      <c r="B6" s="13" t="s">
        <v>55</v>
      </c>
      <c r="C6" s="13" t="s">
        <v>36</v>
      </c>
      <c r="D6" s="14" t="n">
        <v>18.9</v>
      </c>
      <c r="E6" s="13" t="s">
        <v>56</v>
      </c>
    </row>
    <row r="7" customFormat="false" ht="15" hidden="false" customHeight="false" outlineLevel="0" collapsed="false">
      <c r="A7" s="12" t="n">
        <v>46331</v>
      </c>
      <c r="B7" s="13" t="s">
        <v>57</v>
      </c>
      <c r="C7" s="13" t="s">
        <v>27</v>
      </c>
      <c r="D7" s="14" t="n">
        <v>900</v>
      </c>
      <c r="E7" s="13" t="s">
        <v>58</v>
      </c>
    </row>
    <row r="8" customFormat="false" ht="15" hidden="false" customHeight="false" outlineLevel="0" collapsed="false">
      <c r="A8" s="15"/>
      <c r="B8" s="9"/>
      <c r="C8" s="9"/>
      <c r="D8" s="7"/>
      <c r="E8" s="9"/>
    </row>
    <row r="9" customFormat="false" ht="15" hidden="false" customHeight="false" outlineLevel="0" collapsed="false">
      <c r="A9" s="15"/>
      <c r="B9" s="9"/>
      <c r="C9" s="9"/>
      <c r="D9" s="7"/>
      <c r="E9" s="9"/>
    </row>
    <row r="10" customFormat="false" ht="15" hidden="false" customHeight="false" outlineLevel="0" collapsed="false">
      <c r="A10" s="15"/>
      <c r="B10" s="9"/>
      <c r="C10" s="9"/>
      <c r="D10" s="7"/>
      <c r="E10" s="9"/>
    </row>
    <row r="11" customFormat="false" ht="15" hidden="false" customHeight="false" outlineLevel="0" collapsed="false">
      <c r="A11" s="15"/>
      <c r="B11" s="9"/>
      <c r="C11" s="9"/>
      <c r="D11" s="7"/>
      <c r="E11" s="9"/>
    </row>
    <row r="12" customFormat="false" ht="15" hidden="false" customHeight="false" outlineLevel="0" collapsed="false">
      <c r="A12" s="15"/>
      <c r="B12" s="9"/>
      <c r="C12" s="9"/>
      <c r="D12" s="7"/>
      <c r="E12" s="9"/>
    </row>
    <row r="13" customFormat="false" ht="15" hidden="false" customHeight="false" outlineLevel="0" collapsed="false">
      <c r="A13" s="15"/>
      <c r="B13" s="9"/>
      <c r="C13" s="9"/>
      <c r="D13" s="7"/>
      <c r="E13" s="9"/>
    </row>
    <row r="14" customFormat="false" ht="15" hidden="false" customHeight="false" outlineLevel="0" collapsed="false">
      <c r="A14" s="15"/>
      <c r="B14" s="9"/>
      <c r="C14" s="9"/>
      <c r="D14" s="7"/>
      <c r="E14" s="9"/>
    </row>
    <row r="15" customFormat="false" ht="15" hidden="false" customHeight="false" outlineLevel="0" collapsed="false">
      <c r="A15" s="15"/>
      <c r="B15" s="9"/>
      <c r="C15" s="9"/>
      <c r="D15" s="7"/>
      <c r="E15" s="9"/>
    </row>
    <row r="16" customFormat="false" ht="15" hidden="false" customHeight="false" outlineLevel="0" collapsed="false">
      <c r="A16" s="15"/>
      <c r="B16" s="9"/>
      <c r="C16" s="9"/>
      <c r="D16" s="7"/>
      <c r="E16" s="9"/>
    </row>
    <row r="17" customFormat="false" ht="15" hidden="false" customHeight="false" outlineLevel="0" collapsed="false">
      <c r="A17" s="15"/>
      <c r="B17" s="9"/>
      <c r="C17" s="9"/>
      <c r="D17" s="7"/>
      <c r="E17" s="9"/>
    </row>
    <row r="18" customFormat="false" ht="15" hidden="false" customHeight="false" outlineLevel="0" collapsed="false">
      <c r="A18" s="15"/>
      <c r="B18" s="9"/>
      <c r="C18" s="9"/>
      <c r="D18" s="7"/>
      <c r="E18" s="9"/>
    </row>
    <row r="19" customFormat="false" ht="15" hidden="false" customHeight="false" outlineLevel="0" collapsed="false">
      <c r="A19" s="15"/>
      <c r="B19" s="9"/>
      <c r="C19" s="9"/>
      <c r="D19" s="7"/>
      <c r="E19" s="9"/>
    </row>
    <row r="20" customFormat="false" ht="15" hidden="false" customHeight="false" outlineLevel="0" collapsed="false">
      <c r="A20" s="15"/>
      <c r="B20" s="9"/>
      <c r="C20" s="9"/>
      <c r="D20" s="7"/>
      <c r="E20" s="9"/>
    </row>
    <row r="21" customFormat="false" ht="15" hidden="false" customHeight="false" outlineLevel="0" collapsed="false">
      <c r="A21" s="15"/>
      <c r="B21" s="9"/>
      <c r="C21" s="9"/>
      <c r="D21" s="7"/>
      <c r="E21" s="9"/>
    </row>
    <row r="22" customFormat="false" ht="15" hidden="false" customHeight="false" outlineLevel="0" collapsed="false">
      <c r="A22" s="15"/>
      <c r="B22" s="9"/>
      <c r="C22" s="9"/>
      <c r="D22" s="7"/>
      <c r="E22" s="9"/>
    </row>
    <row r="23" customFormat="false" ht="15" hidden="false" customHeight="false" outlineLevel="0" collapsed="false">
      <c r="A23" s="15"/>
      <c r="B23" s="9"/>
      <c r="C23" s="9"/>
      <c r="D23" s="7"/>
      <c r="E23" s="9"/>
    </row>
    <row r="24" customFormat="false" ht="15" hidden="false" customHeight="false" outlineLevel="0" collapsed="false">
      <c r="A24" s="15"/>
      <c r="B24" s="9"/>
      <c r="C24" s="9"/>
      <c r="D24" s="7"/>
      <c r="E24" s="9"/>
    </row>
    <row r="25" customFormat="false" ht="15" hidden="false" customHeight="false" outlineLevel="0" collapsed="false">
      <c r="A25" s="15"/>
      <c r="B25" s="9"/>
      <c r="C25" s="9"/>
      <c r="D25" s="7"/>
      <c r="E25" s="9"/>
    </row>
    <row r="26" customFormat="false" ht="15" hidden="false" customHeight="false" outlineLevel="0" collapsed="false">
      <c r="A26" s="15"/>
      <c r="B26" s="9"/>
      <c r="C26" s="9"/>
      <c r="D26" s="7"/>
      <c r="E26" s="9"/>
    </row>
    <row r="27" customFormat="false" ht="15" hidden="false" customHeight="false" outlineLevel="0" collapsed="false">
      <c r="A27" s="15"/>
      <c r="B27" s="9"/>
      <c r="C27" s="9"/>
      <c r="D27" s="7"/>
      <c r="E27" s="9"/>
    </row>
    <row r="28" customFormat="false" ht="15" hidden="false" customHeight="false" outlineLevel="0" collapsed="false">
      <c r="A28" s="15"/>
      <c r="B28" s="9"/>
      <c r="C28" s="9"/>
      <c r="D28" s="7"/>
      <c r="E28" s="9"/>
    </row>
    <row r="29" customFormat="false" ht="15" hidden="false" customHeight="false" outlineLevel="0" collapsed="false">
      <c r="A29" s="15"/>
      <c r="B29" s="9"/>
      <c r="C29" s="9"/>
      <c r="D29" s="7"/>
      <c r="E29" s="9"/>
    </row>
    <row r="30" customFormat="false" ht="15" hidden="false" customHeight="false" outlineLevel="0" collapsed="false">
      <c r="A30" s="15"/>
      <c r="B30" s="9"/>
      <c r="C30" s="9"/>
      <c r="D30" s="7"/>
      <c r="E30" s="9"/>
    </row>
    <row r="31" customFormat="false" ht="15" hidden="false" customHeight="false" outlineLevel="0" collapsed="false">
      <c r="A31" s="15"/>
      <c r="B31" s="9"/>
      <c r="C31" s="9"/>
      <c r="D31" s="7"/>
      <c r="E31" s="9"/>
    </row>
    <row r="32" customFormat="false" ht="15" hidden="false" customHeight="false" outlineLevel="0" collapsed="false">
      <c r="A32" s="15"/>
      <c r="B32" s="9"/>
      <c r="C32" s="9"/>
      <c r="D32" s="7"/>
      <c r="E32" s="9"/>
    </row>
    <row r="33" customFormat="false" ht="15" hidden="false" customHeight="false" outlineLevel="0" collapsed="false">
      <c r="A33" s="15"/>
      <c r="B33" s="9"/>
      <c r="C33" s="9"/>
      <c r="D33" s="7"/>
      <c r="E33" s="9"/>
    </row>
    <row r="34" customFormat="false" ht="15" hidden="false" customHeight="false" outlineLevel="0" collapsed="false">
      <c r="A34" s="15"/>
      <c r="B34" s="9"/>
      <c r="C34" s="9"/>
      <c r="D34" s="7"/>
      <c r="E34" s="9"/>
    </row>
    <row r="35" customFormat="false" ht="15" hidden="false" customHeight="false" outlineLevel="0" collapsed="false">
      <c r="A35" s="15"/>
      <c r="B35" s="9"/>
      <c r="C35" s="9"/>
      <c r="D35" s="7"/>
      <c r="E35" s="9"/>
    </row>
    <row r="36" customFormat="false" ht="15" hidden="false" customHeight="false" outlineLevel="0" collapsed="false">
      <c r="A36" s="15"/>
      <c r="B36" s="9"/>
      <c r="C36" s="9"/>
      <c r="D36" s="7"/>
      <c r="E36" s="9"/>
    </row>
    <row r="37" customFormat="false" ht="15" hidden="false" customHeight="false" outlineLevel="0" collapsed="false">
      <c r="A37" s="15"/>
      <c r="B37" s="9"/>
      <c r="C37" s="9"/>
      <c r="D37" s="7"/>
      <c r="E37" s="9"/>
    </row>
    <row r="38" customFormat="false" ht="15" hidden="false" customHeight="false" outlineLevel="0" collapsed="false">
      <c r="A38" s="15"/>
      <c r="B38" s="9"/>
      <c r="C38" s="9"/>
      <c r="D38" s="7"/>
      <c r="E38" s="9"/>
    </row>
    <row r="39" customFormat="false" ht="15" hidden="false" customHeight="false" outlineLevel="0" collapsed="false">
      <c r="A39" s="15"/>
      <c r="B39" s="9"/>
      <c r="C39" s="9"/>
      <c r="D39" s="7"/>
      <c r="E39" s="9"/>
    </row>
    <row r="40" customFormat="false" ht="15" hidden="false" customHeight="false" outlineLevel="0" collapsed="false">
      <c r="A40" s="15"/>
      <c r="B40" s="9"/>
      <c r="C40" s="9"/>
      <c r="D40" s="7"/>
      <c r="E40" s="9"/>
    </row>
    <row r="41" customFormat="false" ht="15" hidden="false" customHeight="false" outlineLevel="0" collapsed="false">
      <c r="A41" s="15"/>
      <c r="B41" s="9"/>
      <c r="C41" s="9"/>
      <c r="D41" s="7"/>
      <c r="E41" s="9"/>
    </row>
    <row r="42" customFormat="false" ht="15" hidden="false" customHeight="false" outlineLevel="0" collapsed="false">
      <c r="A42" s="15"/>
      <c r="B42" s="9"/>
      <c r="C42" s="9"/>
      <c r="D42" s="7"/>
      <c r="E42" s="9"/>
    </row>
    <row r="43" customFormat="false" ht="15" hidden="false" customHeight="false" outlineLevel="0" collapsed="false">
      <c r="A43" s="15"/>
      <c r="B43" s="9"/>
      <c r="C43" s="9"/>
      <c r="D43" s="7"/>
      <c r="E43" s="9"/>
    </row>
    <row r="44" customFormat="false" ht="15" hidden="false" customHeight="false" outlineLevel="0" collapsed="false">
      <c r="A44" s="15"/>
      <c r="B44" s="9"/>
      <c r="C44" s="9"/>
      <c r="D44" s="7"/>
      <c r="E44" s="9"/>
    </row>
    <row r="45" customFormat="false" ht="15" hidden="false" customHeight="false" outlineLevel="0" collapsed="false">
      <c r="A45" s="15"/>
      <c r="B45" s="9"/>
      <c r="C45" s="9"/>
      <c r="D45" s="7"/>
      <c r="E45" s="9"/>
    </row>
    <row r="46" customFormat="false" ht="15" hidden="false" customHeight="false" outlineLevel="0" collapsed="false">
      <c r="A46" s="15"/>
      <c r="B46" s="9"/>
      <c r="C46" s="9"/>
      <c r="D46" s="7"/>
      <c r="E46" s="9"/>
    </row>
    <row r="47" customFormat="false" ht="15" hidden="false" customHeight="false" outlineLevel="0" collapsed="false">
      <c r="A47" s="15"/>
      <c r="B47" s="9"/>
      <c r="C47" s="9"/>
      <c r="D47" s="7"/>
      <c r="E47" s="9"/>
    </row>
    <row r="48" customFormat="false" ht="15" hidden="false" customHeight="false" outlineLevel="0" collapsed="false">
      <c r="A48" s="15"/>
      <c r="B48" s="9"/>
      <c r="C48" s="9"/>
      <c r="D48" s="7"/>
      <c r="E48" s="9"/>
    </row>
    <row r="49" customFormat="false" ht="15" hidden="false" customHeight="false" outlineLevel="0" collapsed="false">
      <c r="A49" s="15"/>
      <c r="B49" s="9"/>
      <c r="C49" s="9"/>
      <c r="D49" s="7"/>
      <c r="E49" s="9"/>
    </row>
    <row r="50" customFormat="false" ht="15" hidden="false" customHeight="false" outlineLevel="0" collapsed="false">
      <c r="A50" s="15"/>
      <c r="B50" s="9"/>
      <c r="C50" s="9"/>
      <c r="D50" s="7"/>
      <c r="E50" s="9"/>
    </row>
    <row r="51" customFormat="false" ht="15" hidden="false" customHeight="false" outlineLevel="0" collapsed="false">
      <c r="A51" s="15"/>
      <c r="B51" s="9"/>
      <c r="C51" s="9"/>
      <c r="D51" s="7"/>
      <c r="E51" s="9"/>
    </row>
    <row r="52" customFormat="false" ht="15" hidden="false" customHeight="false" outlineLevel="0" collapsed="false">
      <c r="A52" s="15"/>
      <c r="B52" s="9"/>
      <c r="C52" s="9"/>
      <c r="D52" s="7"/>
      <c r="E52" s="9"/>
    </row>
    <row r="53" customFormat="false" ht="15" hidden="false" customHeight="false" outlineLevel="0" collapsed="false">
      <c r="A53" s="15"/>
      <c r="B53" s="9"/>
      <c r="C53" s="9"/>
      <c r="D53" s="7"/>
      <c r="E53" s="9"/>
    </row>
    <row r="54" customFormat="false" ht="15" hidden="false" customHeight="false" outlineLevel="0" collapsed="false">
      <c r="A54" s="15"/>
      <c r="B54" s="9"/>
      <c r="C54" s="9"/>
      <c r="D54" s="7"/>
      <c r="E54" s="9"/>
    </row>
    <row r="55" customFormat="false" ht="15" hidden="false" customHeight="false" outlineLevel="0" collapsed="false">
      <c r="A55" s="15"/>
      <c r="B55" s="9"/>
      <c r="C55" s="9"/>
      <c r="D55" s="7"/>
      <c r="E55" s="9"/>
    </row>
    <row r="56" customFormat="false" ht="15" hidden="false" customHeight="false" outlineLevel="0" collapsed="false">
      <c r="A56" s="15"/>
      <c r="B56" s="9"/>
      <c r="C56" s="9"/>
      <c r="D56" s="7"/>
      <c r="E56" s="9"/>
    </row>
    <row r="57" customFormat="false" ht="15" hidden="false" customHeight="false" outlineLevel="0" collapsed="false">
      <c r="A57" s="15"/>
      <c r="B57" s="9"/>
      <c r="C57" s="9"/>
      <c r="D57" s="7"/>
      <c r="E57" s="9"/>
    </row>
    <row r="58" customFormat="false" ht="15" hidden="false" customHeight="false" outlineLevel="0" collapsed="false">
      <c r="A58" s="15"/>
      <c r="B58" s="9"/>
      <c r="C58" s="9"/>
      <c r="D58" s="7"/>
      <c r="E58" s="9"/>
    </row>
    <row r="59" customFormat="false" ht="15" hidden="false" customHeight="false" outlineLevel="0" collapsed="false">
      <c r="A59" s="15"/>
      <c r="B59" s="9"/>
      <c r="C59" s="9"/>
      <c r="D59" s="7"/>
      <c r="E59" s="9"/>
    </row>
    <row r="60" customFormat="false" ht="15" hidden="false" customHeight="false" outlineLevel="0" collapsed="false">
      <c r="A60" s="15"/>
      <c r="B60" s="9"/>
      <c r="C60" s="9"/>
      <c r="D60" s="7"/>
      <c r="E60" s="9"/>
    </row>
    <row r="61" customFormat="false" ht="15" hidden="false" customHeight="false" outlineLevel="0" collapsed="false">
      <c r="A61" s="15"/>
      <c r="B61" s="9"/>
      <c r="C61" s="9"/>
      <c r="D61" s="7"/>
      <c r="E61" s="9"/>
    </row>
    <row r="62" customFormat="false" ht="15" hidden="false" customHeight="false" outlineLevel="0" collapsed="false">
      <c r="A62" s="15"/>
      <c r="B62" s="9"/>
      <c r="C62" s="9"/>
      <c r="D62" s="7"/>
      <c r="E62" s="9"/>
    </row>
    <row r="63" customFormat="false" ht="15" hidden="false" customHeight="false" outlineLevel="0" collapsed="false">
      <c r="A63" s="15"/>
      <c r="B63" s="9"/>
      <c r="C63" s="9"/>
      <c r="D63" s="7"/>
      <c r="E63" s="9"/>
    </row>
    <row r="64" customFormat="false" ht="15" hidden="false" customHeight="false" outlineLevel="0" collapsed="false">
      <c r="A64" s="15"/>
      <c r="B64" s="9"/>
      <c r="C64" s="9"/>
      <c r="D64" s="7"/>
      <c r="E64" s="9"/>
    </row>
    <row r="65" customFormat="false" ht="15" hidden="false" customHeight="false" outlineLevel="0" collapsed="false">
      <c r="A65" s="15"/>
      <c r="B65" s="9"/>
      <c r="C65" s="9"/>
      <c r="D65" s="7"/>
      <c r="E65" s="9"/>
    </row>
    <row r="66" customFormat="false" ht="15" hidden="false" customHeight="false" outlineLevel="0" collapsed="false">
      <c r="A66" s="15"/>
      <c r="B66" s="9"/>
      <c r="C66" s="9"/>
      <c r="D66" s="7"/>
      <c r="E66" s="9"/>
    </row>
    <row r="67" customFormat="false" ht="15" hidden="false" customHeight="false" outlineLevel="0" collapsed="false">
      <c r="A67" s="15"/>
      <c r="B67" s="9"/>
      <c r="C67" s="9"/>
      <c r="D67" s="7"/>
      <c r="E67" s="9"/>
    </row>
    <row r="68" customFormat="false" ht="15" hidden="false" customHeight="false" outlineLevel="0" collapsed="false">
      <c r="A68" s="15"/>
      <c r="B68" s="9"/>
      <c r="C68" s="9"/>
      <c r="D68" s="7"/>
      <c r="E68" s="9"/>
    </row>
    <row r="69" customFormat="false" ht="15" hidden="false" customHeight="false" outlineLevel="0" collapsed="false">
      <c r="A69" s="15"/>
      <c r="B69" s="9"/>
      <c r="C69" s="9"/>
      <c r="D69" s="7"/>
      <c r="E69" s="9"/>
    </row>
    <row r="70" customFormat="false" ht="15" hidden="false" customHeight="false" outlineLevel="0" collapsed="false">
      <c r="A70" s="15"/>
      <c r="B70" s="9"/>
      <c r="C70" s="9"/>
      <c r="D70" s="7"/>
      <c r="E70" s="9"/>
    </row>
    <row r="71" customFormat="false" ht="15" hidden="false" customHeight="false" outlineLevel="0" collapsed="false">
      <c r="A71" s="15"/>
      <c r="B71" s="9"/>
      <c r="C71" s="9"/>
      <c r="D71" s="7"/>
      <c r="E71" s="9"/>
    </row>
    <row r="72" customFormat="false" ht="15" hidden="false" customHeight="false" outlineLevel="0" collapsed="false">
      <c r="A72" s="15"/>
      <c r="B72" s="9"/>
      <c r="C72" s="9"/>
      <c r="D72" s="7"/>
      <c r="E72" s="9"/>
    </row>
    <row r="73" customFormat="false" ht="15" hidden="false" customHeight="false" outlineLevel="0" collapsed="false">
      <c r="A73" s="15"/>
      <c r="B73" s="9"/>
      <c r="C73" s="9"/>
      <c r="D73" s="7"/>
      <c r="E73" s="9"/>
    </row>
    <row r="74" customFormat="false" ht="15" hidden="false" customHeight="false" outlineLevel="0" collapsed="false">
      <c r="A74" s="15"/>
      <c r="B74" s="9"/>
      <c r="C74" s="9"/>
      <c r="D74" s="7"/>
      <c r="E74" s="9"/>
    </row>
    <row r="75" customFormat="false" ht="15" hidden="false" customHeight="false" outlineLevel="0" collapsed="false">
      <c r="A75" s="15"/>
      <c r="B75" s="9"/>
      <c r="C75" s="9"/>
      <c r="D75" s="7"/>
      <c r="E75" s="9"/>
    </row>
    <row r="76" customFormat="false" ht="15" hidden="false" customHeight="false" outlineLevel="0" collapsed="false">
      <c r="A76" s="15"/>
      <c r="B76" s="9"/>
      <c r="C76" s="9"/>
      <c r="D76" s="7"/>
      <c r="E76" s="9"/>
    </row>
    <row r="77" customFormat="false" ht="15" hidden="false" customHeight="false" outlineLevel="0" collapsed="false">
      <c r="A77" s="15"/>
      <c r="B77" s="9"/>
      <c r="C77" s="9"/>
      <c r="D77" s="7"/>
      <c r="E77" s="9"/>
    </row>
    <row r="78" customFormat="false" ht="15" hidden="false" customHeight="false" outlineLevel="0" collapsed="false">
      <c r="A78" s="15"/>
      <c r="B78" s="9"/>
      <c r="C78" s="9"/>
      <c r="D78" s="7"/>
      <c r="E78" s="9"/>
    </row>
    <row r="79" customFormat="false" ht="15" hidden="false" customHeight="false" outlineLevel="0" collapsed="false">
      <c r="A79" s="15"/>
      <c r="B79" s="9"/>
      <c r="C79" s="9"/>
      <c r="D79" s="7"/>
      <c r="E79" s="9"/>
    </row>
    <row r="80" customFormat="false" ht="15" hidden="false" customHeight="false" outlineLevel="0" collapsed="false">
      <c r="A80" s="15"/>
      <c r="B80" s="9"/>
      <c r="C80" s="9"/>
      <c r="D80" s="7"/>
      <c r="E80" s="9"/>
    </row>
    <row r="81" customFormat="false" ht="15" hidden="false" customHeight="false" outlineLevel="0" collapsed="false">
      <c r="A81" s="15"/>
      <c r="B81" s="9"/>
      <c r="C81" s="9"/>
      <c r="D81" s="7"/>
      <c r="E81" s="9"/>
    </row>
    <row r="82" customFormat="false" ht="15" hidden="false" customHeight="false" outlineLevel="0" collapsed="false">
      <c r="A82" s="15"/>
      <c r="B82" s="9"/>
      <c r="C82" s="9"/>
      <c r="D82" s="7"/>
      <c r="E82" s="9"/>
    </row>
    <row r="83" customFormat="false" ht="15" hidden="false" customHeight="false" outlineLevel="0" collapsed="false">
      <c r="A83" s="15"/>
      <c r="B83" s="9"/>
      <c r="C83" s="9"/>
      <c r="D83" s="7"/>
      <c r="E83" s="9"/>
    </row>
    <row r="84" customFormat="false" ht="15" hidden="false" customHeight="false" outlineLevel="0" collapsed="false">
      <c r="A84" s="15"/>
      <c r="B84" s="9"/>
      <c r="C84" s="9"/>
      <c r="D84" s="7"/>
      <c r="E84" s="9"/>
    </row>
    <row r="85" customFormat="false" ht="15" hidden="false" customHeight="false" outlineLevel="0" collapsed="false">
      <c r="A85" s="15"/>
      <c r="B85" s="9"/>
      <c r="C85" s="9"/>
      <c r="D85" s="7"/>
      <c r="E85" s="9"/>
    </row>
    <row r="86" customFormat="false" ht="15" hidden="false" customHeight="false" outlineLevel="0" collapsed="false">
      <c r="A86" s="15"/>
      <c r="B86" s="9"/>
      <c r="C86" s="9"/>
      <c r="D86" s="7"/>
      <c r="E86" s="9"/>
    </row>
    <row r="87" customFormat="false" ht="15" hidden="false" customHeight="false" outlineLevel="0" collapsed="false">
      <c r="A87" s="15"/>
      <c r="B87" s="9"/>
      <c r="C87" s="9"/>
      <c r="D87" s="7"/>
      <c r="E87" s="9"/>
    </row>
    <row r="88" customFormat="false" ht="15" hidden="false" customHeight="false" outlineLevel="0" collapsed="false">
      <c r="A88" s="15"/>
      <c r="B88" s="9"/>
      <c r="C88" s="9"/>
      <c r="D88" s="7"/>
      <c r="E88" s="9"/>
    </row>
    <row r="89" customFormat="false" ht="15" hidden="false" customHeight="false" outlineLevel="0" collapsed="false">
      <c r="A89" s="15"/>
      <c r="B89" s="9"/>
      <c r="C89" s="9"/>
      <c r="D89" s="7"/>
      <c r="E89" s="9"/>
    </row>
    <row r="90" customFormat="false" ht="15" hidden="false" customHeight="false" outlineLevel="0" collapsed="false">
      <c r="A90" s="15"/>
      <c r="B90" s="9"/>
      <c r="C90" s="9"/>
      <c r="D90" s="7"/>
      <c r="E90" s="9"/>
    </row>
    <row r="91" customFormat="false" ht="15" hidden="false" customHeight="false" outlineLevel="0" collapsed="false">
      <c r="A91" s="15"/>
      <c r="B91" s="9"/>
      <c r="C91" s="9"/>
      <c r="D91" s="7"/>
      <c r="E91" s="9"/>
    </row>
    <row r="92" customFormat="false" ht="15" hidden="false" customHeight="false" outlineLevel="0" collapsed="false">
      <c r="A92" s="15"/>
      <c r="B92" s="9"/>
      <c r="C92" s="9"/>
      <c r="D92" s="7"/>
      <c r="E92" s="9"/>
    </row>
    <row r="93" customFormat="false" ht="15" hidden="false" customHeight="false" outlineLevel="0" collapsed="false">
      <c r="A93" s="15"/>
      <c r="B93" s="9"/>
      <c r="C93" s="9"/>
      <c r="D93" s="7"/>
      <c r="E93" s="9"/>
    </row>
    <row r="94" customFormat="false" ht="15" hidden="false" customHeight="false" outlineLevel="0" collapsed="false">
      <c r="A94" s="15"/>
      <c r="B94" s="9"/>
      <c r="C94" s="9"/>
      <c r="D94" s="7"/>
      <c r="E94" s="9"/>
    </row>
    <row r="95" customFormat="false" ht="15" hidden="false" customHeight="false" outlineLevel="0" collapsed="false">
      <c r="A95" s="15"/>
      <c r="B95" s="9"/>
      <c r="C95" s="9"/>
      <c r="D95" s="7"/>
      <c r="E95" s="9"/>
    </row>
    <row r="96" customFormat="false" ht="15" hidden="false" customHeight="false" outlineLevel="0" collapsed="false">
      <c r="A96" s="15"/>
      <c r="B96" s="9"/>
      <c r="C96" s="9"/>
      <c r="D96" s="7"/>
      <c r="E96" s="9"/>
    </row>
    <row r="97" customFormat="false" ht="15" hidden="false" customHeight="false" outlineLevel="0" collapsed="false">
      <c r="A97" s="15"/>
      <c r="B97" s="9"/>
      <c r="C97" s="9"/>
      <c r="D97" s="7"/>
      <c r="E97" s="9"/>
    </row>
    <row r="98" customFormat="false" ht="15" hidden="false" customHeight="false" outlineLevel="0" collapsed="false">
      <c r="A98" s="15"/>
      <c r="B98" s="9"/>
      <c r="C98" s="9"/>
      <c r="D98" s="7"/>
      <c r="E98" s="9"/>
    </row>
    <row r="99" customFormat="false" ht="15" hidden="false" customHeight="false" outlineLevel="0" collapsed="false">
      <c r="A99" s="15"/>
      <c r="B99" s="9"/>
      <c r="C99" s="9"/>
      <c r="D99" s="7"/>
      <c r="E99" s="9"/>
    </row>
    <row r="100" customFormat="false" ht="15" hidden="false" customHeight="false" outlineLevel="0" collapsed="false">
      <c r="A100" s="15"/>
      <c r="B100" s="9"/>
      <c r="C100" s="9"/>
      <c r="D100" s="7"/>
      <c r="E100" s="9"/>
    </row>
    <row r="101" customFormat="false" ht="15" hidden="false" customHeight="false" outlineLevel="0" collapsed="false">
      <c r="A101" s="15"/>
      <c r="B101" s="9"/>
      <c r="C101" s="9"/>
      <c r="D101" s="7"/>
      <c r="E101" s="9"/>
    </row>
    <row r="102" customFormat="false" ht="15" hidden="false" customHeight="false" outlineLevel="0" collapsed="false">
      <c r="A102" s="15"/>
      <c r="B102" s="9"/>
      <c r="C102" s="9"/>
      <c r="D102" s="7"/>
      <c r="E102" s="9"/>
    </row>
    <row r="103" customFormat="false" ht="15" hidden="false" customHeight="false" outlineLevel="0" collapsed="false">
      <c r="A103" s="15"/>
      <c r="B103" s="9"/>
      <c r="C103" s="9"/>
      <c r="D103" s="7"/>
      <c r="E103" s="9"/>
    </row>
    <row r="104" customFormat="false" ht="15" hidden="false" customHeight="false" outlineLevel="0" collapsed="false">
      <c r="A104" s="15"/>
      <c r="B104" s="9"/>
      <c r="C104" s="9"/>
      <c r="D104" s="7"/>
      <c r="E104" s="9"/>
    </row>
    <row r="105" customFormat="false" ht="15" hidden="false" customHeight="false" outlineLevel="0" collapsed="false">
      <c r="A105" s="15"/>
      <c r="B105" s="9"/>
      <c r="C105" s="9"/>
      <c r="D105" s="7"/>
      <c r="E105" s="9"/>
    </row>
    <row r="106" customFormat="false" ht="15" hidden="false" customHeight="false" outlineLevel="0" collapsed="false">
      <c r="A106" s="15"/>
      <c r="B106" s="9"/>
      <c r="C106" s="9"/>
      <c r="D106" s="7"/>
      <c r="E106" s="9"/>
    </row>
    <row r="107" customFormat="false" ht="15" hidden="false" customHeight="false" outlineLevel="0" collapsed="false">
      <c r="A107" s="15"/>
      <c r="B107" s="9"/>
      <c r="C107" s="9"/>
      <c r="D107" s="7"/>
      <c r="E107" s="9"/>
    </row>
    <row r="108" customFormat="false" ht="15" hidden="false" customHeight="false" outlineLevel="0" collapsed="false">
      <c r="A108" s="15"/>
      <c r="B108" s="9"/>
      <c r="C108" s="9"/>
      <c r="D108" s="7"/>
      <c r="E108" s="9"/>
    </row>
    <row r="109" customFormat="false" ht="15" hidden="false" customHeight="false" outlineLevel="0" collapsed="false">
      <c r="A109" s="15"/>
      <c r="B109" s="9"/>
      <c r="C109" s="9"/>
      <c r="D109" s="7"/>
      <c r="E109" s="9"/>
    </row>
    <row r="110" customFormat="false" ht="15" hidden="false" customHeight="false" outlineLevel="0" collapsed="false">
      <c r="A110" s="15"/>
      <c r="B110" s="9"/>
      <c r="C110" s="9"/>
      <c r="D110" s="7"/>
      <c r="E110" s="9"/>
    </row>
    <row r="111" customFormat="false" ht="15" hidden="false" customHeight="false" outlineLevel="0" collapsed="false">
      <c r="A111" s="15"/>
      <c r="B111" s="9"/>
      <c r="C111" s="9"/>
      <c r="D111" s="7"/>
      <c r="E111" s="9"/>
    </row>
    <row r="112" customFormat="false" ht="15" hidden="false" customHeight="false" outlineLevel="0" collapsed="false">
      <c r="A112" s="15"/>
      <c r="B112" s="9"/>
      <c r="C112" s="9"/>
      <c r="D112" s="7"/>
      <c r="E112" s="9"/>
    </row>
    <row r="113" customFormat="false" ht="15" hidden="false" customHeight="false" outlineLevel="0" collapsed="false">
      <c r="A113" s="15"/>
      <c r="B113" s="9"/>
      <c r="C113" s="9"/>
      <c r="D113" s="7"/>
      <c r="E113" s="9"/>
    </row>
    <row r="114" customFormat="false" ht="15" hidden="false" customHeight="false" outlineLevel="0" collapsed="false">
      <c r="A114" s="15"/>
      <c r="B114" s="9"/>
      <c r="C114" s="9"/>
      <c r="D114" s="7"/>
      <c r="E114" s="9"/>
    </row>
    <row r="115" customFormat="false" ht="15" hidden="false" customHeight="false" outlineLevel="0" collapsed="false">
      <c r="A115" s="15"/>
      <c r="B115" s="9"/>
      <c r="C115" s="9"/>
      <c r="D115" s="7"/>
      <c r="E115" s="9"/>
    </row>
    <row r="116" customFormat="false" ht="15" hidden="false" customHeight="false" outlineLevel="0" collapsed="false">
      <c r="A116" s="15"/>
      <c r="B116" s="9"/>
      <c r="C116" s="9"/>
      <c r="D116" s="7"/>
      <c r="E116" s="9"/>
    </row>
    <row r="117" customFormat="false" ht="15" hidden="false" customHeight="false" outlineLevel="0" collapsed="false">
      <c r="A117" s="15"/>
      <c r="B117" s="9"/>
      <c r="C117" s="9"/>
      <c r="D117" s="7"/>
      <c r="E117" s="9"/>
    </row>
    <row r="118" customFormat="false" ht="15" hidden="false" customHeight="false" outlineLevel="0" collapsed="false">
      <c r="A118" s="15"/>
      <c r="B118" s="9"/>
      <c r="C118" s="9"/>
      <c r="D118" s="7"/>
      <c r="E118" s="9"/>
    </row>
    <row r="119" customFormat="false" ht="15" hidden="false" customHeight="false" outlineLevel="0" collapsed="false">
      <c r="A119" s="15"/>
      <c r="B119" s="9"/>
      <c r="C119" s="9"/>
      <c r="D119" s="7"/>
      <c r="E119" s="9"/>
    </row>
    <row r="120" customFormat="false" ht="15" hidden="false" customHeight="false" outlineLevel="0" collapsed="false">
      <c r="A120" s="15"/>
      <c r="B120" s="9"/>
      <c r="C120" s="9"/>
      <c r="D120" s="7"/>
      <c r="E120" s="9"/>
    </row>
    <row r="121" customFormat="false" ht="15" hidden="false" customHeight="false" outlineLevel="0" collapsed="false">
      <c r="A121" s="15"/>
      <c r="B121" s="9"/>
      <c r="C121" s="9"/>
      <c r="D121" s="7"/>
      <c r="E121" s="9"/>
    </row>
    <row r="122" customFormat="false" ht="15" hidden="false" customHeight="false" outlineLevel="0" collapsed="false">
      <c r="A122" s="15"/>
      <c r="B122" s="9"/>
      <c r="C122" s="9"/>
      <c r="D122" s="7"/>
      <c r="E122" s="9"/>
    </row>
    <row r="123" customFormat="false" ht="15" hidden="false" customHeight="false" outlineLevel="0" collapsed="false">
      <c r="A123" s="15"/>
      <c r="B123" s="9"/>
      <c r="C123" s="9"/>
      <c r="D123" s="7"/>
      <c r="E123" s="9"/>
    </row>
    <row r="124" customFormat="false" ht="15" hidden="false" customHeight="false" outlineLevel="0" collapsed="false">
      <c r="A124" s="15"/>
      <c r="B124" s="9"/>
      <c r="C124" s="9"/>
      <c r="D124" s="7"/>
      <c r="E124" s="9"/>
    </row>
    <row r="125" customFormat="false" ht="15" hidden="false" customHeight="false" outlineLevel="0" collapsed="false">
      <c r="A125" s="15"/>
      <c r="B125" s="9"/>
      <c r="C125" s="9"/>
      <c r="D125" s="7"/>
      <c r="E125" s="9"/>
    </row>
    <row r="126" customFormat="false" ht="15" hidden="false" customHeight="false" outlineLevel="0" collapsed="false">
      <c r="A126" s="15"/>
      <c r="B126" s="9"/>
      <c r="C126" s="9"/>
      <c r="D126" s="7"/>
      <c r="E126" s="9"/>
    </row>
    <row r="127" customFormat="false" ht="15" hidden="false" customHeight="false" outlineLevel="0" collapsed="false">
      <c r="A127" s="15"/>
      <c r="B127" s="9"/>
      <c r="C127" s="9"/>
      <c r="D127" s="7"/>
      <c r="E127" s="9"/>
    </row>
    <row r="128" customFormat="false" ht="15" hidden="false" customHeight="false" outlineLevel="0" collapsed="false">
      <c r="A128" s="15"/>
      <c r="B128" s="9"/>
      <c r="C128" s="9"/>
      <c r="D128" s="7"/>
      <c r="E128" s="9"/>
    </row>
    <row r="129" customFormat="false" ht="15" hidden="false" customHeight="false" outlineLevel="0" collapsed="false">
      <c r="A129" s="15"/>
      <c r="B129" s="9"/>
      <c r="C129" s="9"/>
      <c r="D129" s="7"/>
      <c r="E129" s="9"/>
    </row>
    <row r="130" customFormat="false" ht="15" hidden="false" customHeight="false" outlineLevel="0" collapsed="false">
      <c r="A130" s="15"/>
      <c r="B130" s="9"/>
      <c r="C130" s="9"/>
      <c r="D130" s="7"/>
      <c r="E130" s="9"/>
    </row>
    <row r="131" customFormat="false" ht="15" hidden="false" customHeight="false" outlineLevel="0" collapsed="false">
      <c r="A131" s="15"/>
      <c r="B131" s="9"/>
      <c r="C131" s="9"/>
      <c r="D131" s="7"/>
      <c r="E131" s="9"/>
    </row>
    <row r="132" customFormat="false" ht="15" hidden="false" customHeight="false" outlineLevel="0" collapsed="false">
      <c r="A132" s="15"/>
      <c r="B132" s="9"/>
      <c r="C132" s="9"/>
      <c r="D132" s="7"/>
      <c r="E132" s="9"/>
    </row>
    <row r="133" customFormat="false" ht="15" hidden="false" customHeight="false" outlineLevel="0" collapsed="false">
      <c r="A133" s="15"/>
      <c r="B133" s="9"/>
      <c r="C133" s="9"/>
      <c r="D133" s="7"/>
      <c r="E133" s="9"/>
    </row>
    <row r="134" customFormat="false" ht="15" hidden="false" customHeight="false" outlineLevel="0" collapsed="false">
      <c r="A134" s="15"/>
      <c r="B134" s="9"/>
      <c r="C134" s="9"/>
      <c r="D134" s="7"/>
      <c r="E134" s="9"/>
    </row>
    <row r="135" customFormat="false" ht="15" hidden="false" customHeight="false" outlineLevel="0" collapsed="false">
      <c r="A135" s="15"/>
      <c r="B135" s="9"/>
      <c r="C135" s="9"/>
      <c r="D135" s="7"/>
      <c r="E135" s="9"/>
    </row>
    <row r="136" customFormat="false" ht="15" hidden="false" customHeight="false" outlineLevel="0" collapsed="false">
      <c r="A136" s="15"/>
      <c r="B136" s="9"/>
      <c r="C136" s="9"/>
      <c r="D136" s="7"/>
      <c r="E136" s="9"/>
    </row>
    <row r="137" customFormat="false" ht="15" hidden="false" customHeight="false" outlineLevel="0" collapsed="false">
      <c r="A137" s="15"/>
      <c r="B137" s="9"/>
      <c r="C137" s="9"/>
      <c r="D137" s="7"/>
      <c r="E137" s="9"/>
    </row>
    <row r="138" customFormat="false" ht="15" hidden="false" customHeight="false" outlineLevel="0" collapsed="false">
      <c r="A138" s="15"/>
      <c r="B138" s="9"/>
      <c r="C138" s="9"/>
      <c r="D138" s="7"/>
      <c r="E138" s="9"/>
    </row>
    <row r="139" customFormat="false" ht="15" hidden="false" customHeight="false" outlineLevel="0" collapsed="false">
      <c r="A139" s="15"/>
      <c r="B139" s="9"/>
      <c r="C139" s="9"/>
      <c r="D139" s="7"/>
      <c r="E139" s="9"/>
    </row>
    <row r="140" customFormat="false" ht="15" hidden="false" customHeight="false" outlineLevel="0" collapsed="false">
      <c r="A140" s="15"/>
      <c r="B140" s="9"/>
      <c r="C140" s="9"/>
      <c r="D140" s="7"/>
      <c r="E140" s="9"/>
    </row>
    <row r="141" customFormat="false" ht="15" hidden="false" customHeight="false" outlineLevel="0" collapsed="false">
      <c r="A141" s="15"/>
      <c r="B141" s="9"/>
      <c r="C141" s="9"/>
      <c r="D141" s="7"/>
      <c r="E141" s="9"/>
    </row>
    <row r="142" customFormat="false" ht="15" hidden="false" customHeight="false" outlineLevel="0" collapsed="false">
      <c r="A142" s="15"/>
      <c r="B142" s="9"/>
      <c r="C142" s="9"/>
      <c r="D142" s="7"/>
      <c r="E142" s="9"/>
    </row>
    <row r="143" customFormat="false" ht="15" hidden="false" customHeight="false" outlineLevel="0" collapsed="false">
      <c r="A143" s="15"/>
      <c r="B143" s="9"/>
      <c r="C143" s="9"/>
      <c r="D143" s="7"/>
      <c r="E143" s="9"/>
    </row>
    <row r="144" customFormat="false" ht="15" hidden="false" customHeight="false" outlineLevel="0" collapsed="false">
      <c r="A144" s="15"/>
      <c r="B144" s="9"/>
      <c r="C144" s="9"/>
      <c r="D144" s="7"/>
      <c r="E144" s="9"/>
    </row>
    <row r="145" customFormat="false" ht="15" hidden="false" customHeight="false" outlineLevel="0" collapsed="false">
      <c r="A145" s="15"/>
      <c r="B145" s="9"/>
      <c r="C145" s="9"/>
      <c r="D145" s="7"/>
      <c r="E145" s="9"/>
    </row>
    <row r="146" customFormat="false" ht="15" hidden="false" customHeight="false" outlineLevel="0" collapsed="false">
      <c r="A146" s="15"/>
      <c r="B146" s="9"/>
      <c r="C146" s="9"/>
      <c r="D146" s="7"/>
      <c r="E146" s="9"/>
    </row>
    <row r="147" customFormat="false" ht="15" hidden="false" customHeight="false" outlineLevel="0" collapsed="false">
      <c r="A147" s="15"/>
      <c r="B147" s="9"/>
      <c r="C147" s="9"/>
      <c r="D147" s="7"/>
      <c r="E147" s="9"/>
    </row>
    <row r="148" customFormat="false" ht="15" hidden="false" customHeight="false" outlineLevel="0" collapsed="false">
      <c r="A148" s="15"/>
      <c r="B148" s="9"/>
      <c r="C148" s="9"/>
      <c r="D148" s="7"/>
      <c r="E148" s="9"/>
    </row>
    <row r="149" customFormat="false" ht="15" hidden="false" customHeight="false" outlineLevel="0" collapsed="false">
      <c r="A149" s="15"/>
      <c r="B149" s="9"/>
      <c r="C149" s="9"/>
      <c r="D149" s="7"/>
      <c r="E149" s="9"/>
    </row>
    <row r="150" customFormat="false" ht="15" hidden="false" customHeight="false" outlineLevel="0" collapsed="false">
      <c r="A150" s="15"/>
      <c r="B150" s="9"/>
      <c r="C150" s="9"/>
      <c r="D150" s="7"/>
      <c r="E150" s="9"/>
    </row>
    <row r="151" customFormat="false" ht="15" hidden="false" customHeight="false" outlineLevel="0" collapsed="false">
      <c r="A151" s="15"/>
      <c r="B151" s="9"/>
      <c r="C151" s="9"/>
      <c r="D151" s="7"/>
      <c r="E151" s="9"/>
    </row>
    <row r="152" customFormat="false" ht="15" hidden="false" customHeight="false" outlineLevel="0" collapsed="false">
      <c r="A152" s="15"/>
      <c r="B152" s="9"/>
      <c r="C152" s="9"/>
      <c r="D152" s="7"/>
      <c r="E152" s="9"/>
    </row>
    <row r="153" customFormat="false" ht="15" hidden="false" customHeight="false" outlineLevel="0" collapsed="false">
      <c r="A153" s="15"/>
      <c r="B153" s="9"/>
      <c r="C153" s="9"/>
      <c r="D153" s="7"/>
      <c r="E153" s="9"/>
    </row>
    <row r="154" customFormat="false" ht="15" hidden="false" customHeight="false" outlineLevel="0" collapsed="false">
      <c r="A154" s="15"/>
      <c r="B154" s="9"/>
      <c r="C154" s="9"/>
      <c r="D154" s="7"/>
      <c r="E154" s="9"/>
    </row>
    <row r="155" customFormat="false" ht="15" hidden="false" customHeight="false" outlineLevel="0" collapsed="false">
      <c r="A155" s="15"/>
      <c r="B155" s="9"/>
      <c r="C155" s="9"/>
      <c r="D155" s="7"/>
      <c r="E155" s="9"/>
    </row>
    <row r="156" customFormat="false" ht="15" hidden="false" customHeight="false" outlineLevel="0" collapsed="false">
      <c r="A156" s="15"/>
      <c r="B156" s="9"/>
      <c r="C156" s="9"/>
      <c r="D156" s="7"/>
      <c r="E156" s="9"/>
    </row>
    <row r="157" customFormat="false" ht="15" hidden="false" customHeight="false" outlineLevel="0" collapsed="false">
      <c r="A157" s="15"/>
      <c r="B157" s="9"/>
      <c r="C157" s="9"/>
      <c r="D157" s="7"/>
      <c r="E157" s="9"/>
    </row>
    <row r="158" customFormat="false" ht="15" hidden="false" customHeight="false" outlineLevel="0" collapsed="false">
      <c r="A158" s="15"/>
      <c r="B158" s="9"/>
      <c r="C158" s="9"/>
      <c r="D158" s="7"/>
      <c r="E158" s="9"/>
    </row>
    <row r="159" customFormat="false" ht="15" hidden="false" customHeight="false" outlineLevel="0" collapsed="false">
      <c r="A159" s="15"/>
      <c r="B159" s="9"/>
      <c r="C159" s="9"/>
      <c r="D159" s="7"/>
      <c r="E159" s="9"/>
    </row>
    <row r="160" customFormat="false" ht="15" hidden="false" customHeight="false" outlineLevel="0" collapsed="false">
      <c r="A160" s="15"/>
      <c r="B160" s="9"/>
      <c r="C160" s="9"/>
      <c r="D160" s="7"/>
      <c r="E160" s="9"/>
    </row>
    <row r="161" customFormat="false" ht="15" hidden="false" customHeight="false" outlineLevel="0" collapsed="false">
      <c r="A161" s="15"/>
      <c r="B161" s="9"/>
      <c r="C161" s="9"/>
      <c r="D161" s="7"/>
      <c r="E161" s="9"/>
    </row>
    <row r="162" customFormat="false" ht="15" hidden="false" customHeight="false" outlineLevel="0" collapsed="false">
      <c r="A162" s="15"/>
      <c r="B162" s="9"/>
      <c r="C162" s="9"/>
      <c r="D162" s="7"/>
      <c r="E162" s="9"/>
    </row>
    <row r="163" customFormat="false" ht="15" hidden="false" customHeight="false" outlineLevel="0" collapsed="false">
      <c r="A163" s="15"/>
      <c r="B163" s="9"/>
      <c r="C163" s="9"/>
      <c r="D163" s="7"/>
      <c r="E163" s="9"/>
    </row>
    <row r="164" customFormat="false" ht="15" hidden="false" customHeight="false" outlineLevel="0" collapsed="false">
      <c r="A164" s="15"/>
      <c r="B164" s="9"/>
      <c r="C164" s="9"/>
      <c r="D164" s="7"/>
      <c r="E164" s="9"/>
    </row>
    <row r="165" customFormat="false" ht="15" hidden="false" customHeight="false" outlineLevel="0" collapsed="false">
      <c r="A165" s="15"/>
      <c r="B165" s="9"/>
      <c r="C165" s="9"/>
      <c r="D165" s="7"/>
      <c r="E165" s="9"/>
    </row>
    <row r="166" customFormat="false" ht="15" hidden="false" customHeight="false" outlineLevel="0" collapsed="false">
      <c r="A166" s="15"/>
      <c r="B166" s="9"/>
      <c r="C166" s="9"/>
      <c r="D166" s="7"/>
      <c r="E166" s="9"/>
    </row>
    <row r="167" customFormat="false" ht="15" hidden="false" customHeight="false" outlineLevel="0" collapsed="false">
      <c r="A167" s="15"/>
      <c r="B167" s="9"/>
      <c r="C167" s="9"/>
      <c r="D167" s="7"/>
      <c r="E167" s="9"/>
    </row>
    <row r="168" customFormat="false" ht="15" hidden="false" customHeight="false" outlineLevel="0" collapsed="false">
      <c r="A168" s="15"/>
      <c r="B168" s="9"/>
      <c r="C168" s="9"/>
      <c r="D168" s="7"/>
      <c r="E168" s="9"/>
    </row>
    <row r="169" customFormat="false" ht="15" hidden="false" customHeight="false" outlineLevel="0" collapsed="false">
      <c r="A169" s="15"/>
      <c r="B169" s="9"/>
      <c r="C169" s="9"/>
      <c r="D169" s="7"/>
      <c r="E169" s="9"/>
    </row>
    <row r="170" customFormat="false" ht="15" hidden="false" customHeight="false" outlineLevel="0" collapsed="false">
      <c r="A170" s="15"/>
      <c r="B170" s="9"/>
      <c r="C170" s="9"/>
      <c r="D170" s="7"/>
      <c r="E170" s="9"/>
    </row>
    <row r="171" customFormat="false" ht="15" hidden="false" customHeight="false" outlineLevel="0" collapsed="false">
      <c r="A171" s="15"/>
      <c r="B171" s="9"/>
      <c r="C171" s="9"/>
      <c r="D171" s="7"/>
      <c r="E171" s="9"/>
    </row>
    <row r="172" customFormat="false" ht="15" hidden="false" customHeight="false" outlineLevel="0" collapsed="false">
      <c r="A172" s="15"/>
      <c r="B172" s="9"/>
      <c r="C172" s="9"/>
      <c r="D172" s="7"/>
      <c r="E172" s="9"/>
    </row>
    <row r="173" customFormat="false" ht="15" hidden="false" customHeight="false" outlineLevel="0" collapsed="false">
      <c r="A173" s="15"/>
      <c r="B173" s="9"/>
      <c r="C173" s="9"/>
      <c r="D173" s="7"/>
      <c r="E173" s="9"/>
    </row>
    <row r="174" customFormat="false" ht="15" hidden="false" customHeight="false" outlineLevel="0" collapsed="false">
      <c r="A174" s="15"/>
      <c r="B174" s="9"/>
      <c r="C174" s="9"/>
      <c r="D174" s="7"/>
      <c r="E174" s="9"/>
    </row>
    <row r="175" customFormat="false" ht="15" hidden="false" customHeight="false" outlineLevel="0" collapsed="false">
      <c r="A175" s="15"/>
      <c r="B175" s="9"/>
      <c r="C175" s="9"/>
      <c r="D175" s="7"/>
      <c r="E175" s="9"/>
    </row>
    <row r="176" customFormat="false" ht="15" hidden="false" customHeight="false" outlineLevel="0" collapsed="false">
      <c r="A176" s="15"/>
      <c r="B176" s="9"/>
      <c r="C176" s="9"/>
      <c r="D176" s="7"/>
      <c r="E176" s="9"/>
    </row>
    <row r="177" customFormat="false" ht="15" hidden="false" customHeight="false" outlineLevel="0" collapsed="false">
      <c r="A177" s="15"/>
      <c r="B177" s="9"/>
      <c r="C177" s="9"/>
      <c r="D177" s="7"/>
      <c r="E177" s="9"/>
    </row>
    <row r="178" customFormat="false" ht="15" hidden="false" customHeight="false" outlineLevel="0" collapsed="false">
      <c r="A178" s="15"/>
      <c r="B178" s="9"/>
      <c r="C178" s="9"/>
      <c r="D178" s="7"/>
      <c r="E178" s="9"/>
    </row>
    <row r="179" customFormat="false" ht="15" hidden="false" customHeight="false" outlineLevel="0" collapsed="false">
      <c r="A179" s="15"/>
      <c r="B179" s="9"/>
      <c r="C179" s="9"/>
      <c r="D179" s="7"/>
      <c r="E179" s="9"/>
    </row>
    <row r="180" customFormat="false" ht="15" hidden="false" customHeight="false" outlineLevel="0" collapsed="false">
      <c r="A180" s="15"/>
      <c r="B180" s="9"/>
      <c r="C180" s="9"/>
      <c r="D180" s="7"/>
      <c r="E180" s="9"/>
    </row>
    <row r="181" customFormat="false" ht="15" hidden="false" customHeight="false" outlineLevel="0" collapsed="false">
      <c r="A181" s="15"/>
      <c r="B181" s="9"/>
      <c r="C181" s="9"/>
      <c r="D181" s="7"/>
      <c r="E181" s="9"/>
    </row>
    <row r="182" customFormat="false" ht="15" hidden="false" customHeight="false" outlineLevel="0" collapsed="false">
      <c r="A182" s="15"/>
      <c r="B182" s="9"/>
      <c r="C182" s="9"/>
      <c r="D182" s="7"/>
      <c r="E182" s="9"/>
    </row>
    <row r="183" customFormat="false" ht="15" hidden="false" customHeight="false" outlineLevel="0" collapsed="false">
      <c r="A183" s="15"/>
      <c r="B183" s="9"/>
      <c r="C183" s="9"/>
      <c r="D183" s="7"/>
      <c r="E183" s="9"/>
    </row>
    <row r="184" customFormat="false" ht="15" hidden="false" customHeight="false" outlineLevel="0" collapsed="false">
      <c r="A184" s="15"/>
      <c r="B184" s="9"/>
      <c r="C184" s="9"/>
      <c r="D184" s="7"/>
      <c r="E184" s="9"/>
    </row>
    <row r="185" customFormat="false" ht="15" hidden="false" customHeight="false" outlineLevel="0" collapsed="false">
      <c r="A185" s="15"/>
      <c r="B185" s="9"/>
      <c r="C185" s="9"/>
      <c r="D185" s="7"/>
      <c r="E185" s="9"/>
    </row>
    <row r="186" customFormat="false" ht="15" hidden="false" customHeight="false" outlineLevel="0" collapsed="false">
      <c r="A186" s="15"/>
      <c r="B186" s="9"/>
      <c r="C186" s="9"/>
      <c r="D186" s="7"/>
      <c r="E186" s="9"/>
    </row>
    <row r="187" customFormat="false" ht="15" hidden="false" customHeight="false" outlineLevel="0" collapsed="false">
      <c r="A187" s="15"/>
      <c r="B187" s="9"/>
      <c r="C187" s="9"/>
      <c r="D187" s="7"/>
      <c r="E187" s="9"/>
    </row>
    <row r="188" customFormat="false" ht="15" hidden="false" customHeight="false" outlineLevel="0" collapsed="false">
      <c r="A188" s="15"/>
      <c r="B188" s="9"/>
      <c r="C188" s="9"/>
      <c r="D188" s="7"/>
      <c r="E188" s="9"/>
    </row>
    <row r="189" customFormat="false" ht="15" hidden="false" customHeight="false" outlineLevel="0" collapsed="false">
      <c r="A189" s="15"/>
      <c r="B189" s="9"/>
      <c r="C189" s="9"/>
      <c r="D189" s="7"/>
      <c r="E189" s="9"/>
    </row>
    <row r="190" customFormat="false" ht="15" hidden="false" customHeight="false" outlineLevel="0" collapsed="false">
      <c r="A190" s="15"/>
      <c r="B190" s="9"/>
      <c r="C190" s="9"/>
      <c r="D190" s="7"/>
      <c r="E190" s="9"/>
    </row>
    <row r="191" customFormat="false" ht="15" hidden="false" customHeight="false" outlineLevel="0" collapsed="false">
      <c r="A191" s="15"/>
      <c r="B191" s="9"/>
      <c r="C191" s="9"/>
      <c r="D191" s="7"/>
      <c r="E191" s="9"/>
    </row>
    <row r="192" customFormat="false" ht="15" hidden="false" customHeight="false" outlineLevel="0" collapsed="false">
      <c r="A192" s="15"/>
      <c r="B192" s="9"/>
      <c r="C192" s="9"/>
      <c r="D192" s="7"/>
      <c r="E192" s="9"/>
    </row>
    <row r="193" customFormat="false" ht="15" hidden="false" customHeight="false" outlineLevel="0" collapsed="false">
      <c r="A193" s="15"/>
      <c r="B193" s="9"/>
      <c r="C193" s="9"/>
      <c r="D193" s="7"/>
      <c r="E193" s="9"/>
    </row>
    <row r="194" customFormat="false" ht="15" hidden="false" customHeight="false" outlineLevel="0" collapsed="false">
      <c r="A194" s="15"/>
      <c r="B194" s="9"/>
      <c r="C194" s="9"/>
      <c r="D194" s="7"/>
      <c r="E194" s="9"/>
    </row>
    <row r="195" customFormat="false" ht="15" hidden="false" customHeight="false" outlineLevel="0" collapsed="false">
      <c r="A195" s="15"/>
      <c r="B195" s="9"/>
      <c r="C195" s="9"/>
      <c r="D195" s="7"/>
      <c r="E195" s="9"/>
    </row>
    <row r="196" customFormat="false" ht="15" hidden="false" customHeight="false" outlineLevel="0" collapsed="false">
      <c r="A196" s="15"/>
      <c r="B196" s="9"/>
      <c r="C196" s="9"/>
      <c r="D196" s="7"/>
      <c r="E196" s="9"/>
    </row>
    <row r="197" customFormat="false" ht="15" hidden="false" customHeight="false" outlineLevel="0" collapsed="false">
      <c r="A197" s="15"/>
      <c r="B197" s="9"/>
      <c r="C197" s="9"/>
      <c r="D197" s="7"/>
      <c r="E197" s="9"/>
    </row>
    <row r="198" customFormat="false" ht="15" hidden="false" customHeight="false" outlineLevel="0" collapsed="false">
      <c r="A198" s="15"/>
      <c r="B198" s="9"/>
      <c r="C198" s="9"/>
      <c r="D198" s="7"/>
      <c r="E198" s="9"/>
    </row>
    <row r="199" customFormat="false" ht="15" hidden="false" customHeight="false" outlineLevel="0" collapsed="false">
      <c r="A199" s="15"/>
      <c r="B199" s="9"/>
      <c r="C199" s="9"/>
      <c r="D199" s="7"/>
      <c r="E199" s="9"/>
    </row>
    <row r="200" customFormat="false" ht="15" hidden="false" customHeight="false" outlineLevel="0" collapsed="false">
      <c r="A200" s="15"/>
      <c r="B200" s="9"/>
      <c r="C200" s="9"/>
      <c r="D200" s="7"/>
      <c r="E200" s="9"/>
    </row>
    <row r="201" customFormat="false" ht="15" hidden="false" customHeight="false" outlineLevel="0" collapsed="false">
      <c r="A201" s="15"/>
      <c r="B201" s="9"/>
      <c r="C201" s="9"/>
      <c r="D201" s="7"/>
      <c r="E201" s="9"/>
    </row>
    <row r="202" customFormat="false" ht="15" hidden="false" customHeight="false" outlineLevel="0" collapsed="false">
      <c r="A202" s="15"/>
      <c r="B202" s="9"/>
      <c r="C202" s="9"/>
      <c r="D202" s="7"/>
      <c r="E202" s="9"/>
    </row>
    <row r="203" customFormat="false" ht="15" hidden="false" customHeight="false" outlineLevel="0" collapsed="false">
      <c r="A203" s="15"/>
      <c r="B203" s="9"/>
      <c r="C203" s="9"/>
      <c r="D203" s="7"/>
      <c r="E203" s="9"/>
    </row>
    <row r="204" customFormat="false" ht="15" hidden="false" customHeight="false" outlineLevel="0" collapsed="false">
      <c r="A204" s="15"/>
      <c r="B204" s="9"/>
      <c r="C204" s="9"/>
      <c r="D204" s="7"/>
      <c r="E204" s="9"/>
    </row>
    <row r="205" customFormat="false" ht="15" hidden="false" customHeight="false" outlineLevel="0" collapsed="false">
      <c r="A205" s="15"/>
      <c r="B205" s="9"/>
      <c r="C205" s="9"/>
      <c r="D205" s="7"/>
      <c r="E205" s="9"/>
    </row>
    <row r="206" customFormat="false" ht="15" hidden="false" customHeight="false" outlineLevel="0" collapsed="false">
      <c r="A206" s="15"/>
      <c r="B206" s="9"/>
      <c r="C206" s="9"/>
      <c r="D206" s="7"/>
      <c r="E206" s="9"/>
    </row>
    <row r="207" customFormat="false" ht="15" hidden="false" customHeight="false" outlineLevel="0" collapsed="false">
      <c r="A207" s="15"/>
      <c r="B207" s="9"/>
      <c r="C207" s="9"/>
      <c r="D207" s="7"/>
      <c r="E207" s="9"/>
    </row>
    <row r="208" customFormat="false" ht="15" hidden="false" customHeight="false" outlineLevel="0" collapsed="false">
      <c r="A208" s="15"/>
      <c r="B208" s="9"/>
      <c r="C208" s="9"/>
      <c r="D208" s="7"/>
      <c r="E208" s="9"/>
    </row>
    <row r="209" customFormat="false" ht="15" hidden="false" customHeight="false" outlineLevel="0" collapsed="false">
      <c r="A209" s="15"/>
      <c r="B209" s="9"/>
      <c r="C209" s="9"/>
      <c r="D209" s="7"/>
      <c r="E209" s="9"/>
    </row>
    <row r="210" customFormat="false" ht="15" hidden="false" customHeight="false" outlineLevel="0" collapsed="false">
      <c r="A210" s="15"/>
      <c r="B210" s="9"/>
      <c r="C210" s="9"/>
      <c r="D210" s="7"/>
      <c r="E210" s="9"/>
    </row>
    <row r="211" customFormat="false" ht="15" hidden="false" customHeight="false" outlineLevel="0" collapsed="false">
      <c r="A211" s="15"/>
      <c r="B211" s="9"/>
      <c r="C211" s="9"/>
      <c r="D211" s="7"/>
      <c r="E211" s="9"/>
    </row>
    <row r="212" customFormat="false" ht="15" hidden="false" customHeight="false" outlineLevel="0" collapsed="false">
      <c r="A212" s="15"/>
      <c r="B212" s="9"/>
      <c r="C212" s="9"/>
      <c r="D212" s="7"/>
      <c r="E212" s="9"/>
    </row>
    <row r="213" customFormat="false" ht="15" hidden="false" customHeight="false" outlineLevel="0" collapsed="false">
      <c r="A213" s="15"/>
      <c r="B213" s="9"/>
      <c r="C213" s="9"/>
      <c r="D213" s="7"/>
      <c r="E213" s="9"/>
    </row>
    <row r="214" customFormat="false" ht="15" hidden="false" customHeight="false" outlineLevel="0" collapsed="false">
      <c r="A214" s="15"/>
      <c r="B214" s="9"/>
      <c r="C214" s="9"/>
      <c r="D214" s="7"/>
      <c r="E214" s="9"/>
    </row>
    <row r="215" customFormat="false" ht="15" hidden="false" customHeight="false" outlineLevel="0" collapsed="false">
      <c r="A215" s="15"/>
      <c r="B215" s="9"/>
      <c r="C215" s="9"/>
      <c r="D215" s="7"/>
      <c r="E215" s="9"/>
    </row>
    <row r="216" customFormat="false" ht="15" hidden="false" customHeight="false" outlineLevel="0" collapsed="false">
      <c r="A216" s="15"/>
      <c r="B216" s="9"/>
      <c r="C216" s="9"/>
      <c r="D216" s="7"/>
      <c r="E216" s="9"/>
    </row>
    <row r="217" customFormat="false" ht="15" hidden="false" customHeight="false" outlineLevel="0" collapsed="false">
      <c r="A217" s="15"/>
      <c r="B217" s="9"/>
      <c r="C217" s="9"/>
      <c r="D217" s="7"/>
      <c r="E217" s="9"/>
    </row>
    <row r="218" customFormat="false" ht="15" hidden="false" customHeight="false" outlineLevel="0" collapsed="false">
      <c r="A218" s="15"/>
      <c r="B218" s="9"/>
      <c r="C218" s="9"/>
      <c r="D218" s="7"/>
      <c r="E218" s="9"/>
    </row>
    <row r="219" customFormat="false" ht="15" hidden="false" customHeight="false" outlineLevel="0" collapsed="false">
      <c r="A219" s="15"/>
      <c r="B219" s="9"/>
      <c r="C219" s="9"/>
      <c r="D219" s="7"/>
      <c r="E219" s="9"/>
    </row>
    <row r="220" customFormat="false" ht="15" hidden="false" customHeight="false" outlineLevel="0" collapsed="false">
      <c r="A220" s="15"/>
      <c r="B220" s="9"/>
      <c r="C220" s="9"/>
      <c r="D220" s="7"/>
      <c r="E220" s="9"/>
    </row>
    <row r="221" customFormat="false" ht="15" hidden="false" customHeight="false" outlineLevel="0" collapsed="false">
      <c r="A221" s="15"/>
      <c r="B221" s="9"/>
      <c r="C221" s="9"/>
      <c r="D221" s="7"/>
      <c r="E221" s="9"/>
    </row>
    <row r="222" customFormat="false" ht="15" hidden="false" customHeight="false" outlineLevel="0" collapsed="false">
      <c r="A222" s="15"/>
      <c r="B222" s="9"/>
      <c r="C222" s="9"/>
      <c r="D222" s="7"/>
      <c r="E222" s="9"/>
    </row>
    <row r="223" customFormat="false" ht="15" hidden="false" customHeight="false" outlineLevel="0" collapsed="false">
      <c r="A223" s="15"/>
      <c r="B223" s="9"/>
      <c r="C223" s="9"/>
      <c r="D223" s="7"/>
      <c r="E223" s="9"/>
    </row>
    <row r="224" customFormat="false" ht="15" hidden="false" customHeight="false" outlineLevel="0" collapsed="false">
      <c r="A224" s="15"/>
      <c r="B224" s="9"/>
      <c r="C224" s="9"/>
      <c r="D224" s="7"/>
      <c r="E224" s="9"/>
    </row>
    <row r="225" customFormat="false" ht="15" hidden="false" customHeight="false" outlineLevel="0" collapsed="false">
      <c r="A225" s="15"/>
      <c r="B225" s="9"/>
      <c r="C225" s="9"/>
      <c r="D225" s="7"/>
      <c r="E225" s="9"/>
    </row>
    <row r="226" customFormat="false" ht="15" hidden="false" customHeight="false" outlineLevel="0" collapsed="false">
      <c r="A226" s="15"/>
      <c r="B226" s="9"/>
      <c r="C226" s="9"/>
      <c r="D226" s="7"/>
      <c r="E226" s="9"/>
    </row>
    <row r="227" customFormat="false" ht="15" hidden="false" customHeight="false" outlineLevel="0" collapsed="false">
      <c r="A227" s="15"/>
      <c r="B227" s="9"/>
      <c r="C227" s="9"/>
      <c r="D227" s="7"/>
      <c r="E227" s="9"/>
    </row>
    <row r="228" customFormat="false" ht="15" hidden="false" customHeight="false" outlineLevel="0" collapsed="false">
      <c r="A228" s="15"/>
      <c r="B228" s="9"/>
      <c r="C228" s="9"/>
      <c r="D228" s="7"/>
      <c r="E228" s="9"/>
    </row>
    <row r="229" customFormat="false" ht="15" hidden="false" customHeight="false" outlineLevel="0" collapsed="false">
      <c r="A229" s="15"/>
      <c r="B229" s="9"/>
      <c r="C229" s="9"/>
      <c r="D229" s="7"/>
      <c r="E229" s="9"/>
    </row>
    <row r="230" customFormat="false" ht="15" hidden="false" customHeight="false" outlineLevel="0" collapsed="false">
      <c r="A230" s="15"/>
      <c r="B230" s="9"/>
      <c r="C230" s="9"/>
      <c r="D230" s="7"/>
      <c r="E230" s="9"/>
    </row>
    <row r="231" customFormat="false" ht="15" hidden="false" customHeight="false" outlineLevel="0" collapsed="false">
      <c r="A231" s="15"/>
      <c r="B231" s="9"/>
      <c r="C231" s="9"/>
      <c r="D231" s="7"/>
      <c r="E231" s="9"/>
    </row>
    <row r="232" customFormat="false" ht="15" hidden="false" customHeight="false" outlineLevel="0" collapsed="false">
      <c r="A232" s="15"/>
      <c r="B232" s="9"/>
      <c r="C232" s="9"/>
      <c r="D232" s="7"/>
      <c r="E232" s="9"/>
    </row>
    <row r="233" customFormat="false" ht="15" hidden="false" customHeight="false" outlineLevel="0" collapsed="false">
      <c r="A233" s="15"/>
      <c r="B233" s="9"/>
      <c r="C233" s="9"/>
      <c r="D233" s="7"/>
      <c r="E233" s="9"/>
    </row>
    <row r="234" customFormat="false" ht="15" hidden="false" customHeight="false" outlineLevel="0" collapsed="false">
      <c r="A234" s="15"/>
      <c r="B234" s="9"/>
      <c r="C234" s="9"/>
      <c r="D234" s="7"/>
      <c r="E234" s="9"/>
    </row>
    <row r="235" customFormat="false" ht="15" hidden="false" customHeight="false" outlineLevel="0" collapsed="false">
      <c r="A235" s="15"/>
      <c r="B235" s="9"/>
      <c r="C235" s="9"/>
      <c r="D235" s="7"/>
      <c r="E235" s="9"/>
    </row>
    <row r="236" customFormat="false" ht="15" hidden="false" customHeight="false" outlineLevel="0" collapsed="false">
      <c r="A236" s="15"/>
      <c r="B236" s="9"/>
      <c r="C236" s="9"/>
      <c r="D236" s="7"/>
      <c r="E236" s="9"/>
    </row>
    <row r="237" customFormat="false" ht="15" hidden="false" customHeight="false" outlineLevel="0" collapsed="false">
      <c r="A237" s="15"/>
      <c r="B237" s="9"/>
      <c r="C237" s="9"/>
      <c r="D237" s="7"/>
      <c r="E237" s="9"/>
    </row>
    <row r="238" customFormat="false" ht="15" hidden="false" customHeight="false" outlineLevel="0" collapsed="false">
      <c r="A238" s="15"/>
      <c r="B238" s="9"/>
      <c r="C238" s="9"/>
      <c r="D238" s="7"/>
      <c r="E238" s="9"/>
    </row>
    <row r="239" customFormat="false" ht="15" hidden="false" customHeight="false" outlineLevel="0" collapsed="false">
      <c r="A239" s="15"/>
      <c r="B239" s="9"/>
      <c r="C239" s="9"/>
      <c r="D239" s="7"/>
      <c r="E239" s="9"/>
    </row>
    <row r="240" customFormat="false" ht="15" hidden="false" customHeight="false" outlineLevel="0" collapsed="false">
      <c r="A240" s="15"/>
      <c r="B240" s="9"/>
      <c r="C240" s="9"/>
      <c r="D240" s="7"/>
      <c r="E240" s="9"/>
    </row>
    <row r="241" customFormat="false" ht="15" hidden="false" customHeight="false" outlineLevel="0" collapsed="false">
      <c r="A241" s="15"/>
      <c r="B241" s="9"/>
      <c r="C241" s="9"/>
      <c r="D241" s="7"/>
      <c r="E241" s="9"/>
    </row>
    <row r="242" customFormat="false" ht="15" hidden="false" customHeight="false" outlineLevel="0" collapsed="false">
      <c r="A242" s="15"/>
      <c r="B242" s="9"/>
      <c r="C242" s="9"/>
      <c r="D242" s="7"/>
      <c r="E242" s="9"/>
    </row>
    <row r="243" customFormat="false" ht="15" hidden="false" customHeight="false" outlineLevel="0" collapsed="false">
      <c r="A243" s="15"/>
      <c r="B243" s="9"/>
      <c r="C243" s="9"/>
      <c r="D243" s="7"/>
      <c r="E243" s="9"/>
    </row>
    <row r="244" customFormat="false" ht="15" hidden="false" customHeight="false" outlineLevel="0" collapsed="false">
      <c r="A244" s="15"/>
      <c r="B244" s="9"/>
      <c r="C244" s="9"/>
      <c r="D244" s="7"/>
      <c r="E244" s="9"/>
    </row>
    <row r="245" customFormat="false" ht="15" hidden="false" customHeight="false" outlineLevel="0" collapsed="false">
      <c r="A245" s="15"/>
      <c r="B245" s="9"/>
      <c r="C245" s="9"/>
      <c r="D245" s="7"/>
      <c r="E245" s="9"/>
    </row>
    <row r="246" customFormat="false" ht="15" hidden="false" customHeight="false" outlineLevel="0" collapsed="false">
      <c r="A246" s="15"/>
      <c r="B246" s="9"/>
      <c r="C246" s="9"/>
      <c r="D246" s="7"/>
      <c r="E246" s="9"/>
    </row>
    <row r="247" customFormat="false" ht="15" hidden="false" customHeight="false" outlineLevel="0" collapsed="false">
      <c r="A247" s="15"/>
      <c r="B247" s="9"/>
      <c r="C247" s="9"/>
      <c r="D247" s="7"/>
      <c r="E247" s="9"/>
    </row>
    <row r="248" customFormat="false" ht="15" hidden="false" customHeight="false" outlineLevel="0" collapsed="false">
      <c r="A248" s="15"/>
      <c r="B248" s="9"/>
      <c r="C248" s="9"/>
      <c r="D248" s="7"/>
      <c r="E248" s="9"/>
    </row>
    <row r="249" customFormat="false" ht="15" hidden="false" customHeight="false" outlineLevel="0" collapsed="false">
      <c r="A249" s="15"/>
      <c r="B249" s="9"/>
      <c r="C249" s="9"/>
      <c r="D249" s="7"/>
      <c r="E249" s="9"/>
    </row>
    <row r="250" customFormat="false" ht="15" hidden="false" customHeight="false" outlineLevel="0" collapsed="false">
      <c r="A250" s="15"/>
      <c r="B250" s="9"/>
      <c r="C250" s="9"/>
      <c r="D250" s="7"/>
      <c r="E250" s="9"/>
    </row>
    <row r="251" customFormat="false" ht="15" hidden="false" customHeight="false" outlineLevel="0" collapsed="false">
      <c r="A251" s="15"/>
      <c r="B251" s="9"/>
      <c r="C251" s="9"/>
      <c r="D251" s="7"/>
      <c r="E251" s="9"/>
    </row>
    <row r="252" customFormat="false" ht="15" hidden="false" customHeight="false" outlineLevel="0" collapsed="false">
      <c r="A252" s="15"/>
      <c r="B252" s="9"/>
      <c r="C252" s="9"/>
      <c r="D252" s="7"/>
      <c r="E252" s="9"/>
    </row>
    <row r="253" customFormat="false" ht="15" hidden="false" customHeight="false" outlineLevel="0" collapsed="false">
      <c r="A253" s="15"/>
      <c r="B253" s="9"/>
      <c r="C253" s="9"/>
      <c r="D253" s="7"/>
      <c r="E253" s="9"/>
    </row>
    <row r="254" customFormat="false" ht="15" hidden="false" customHeight="false" outlineLevel="0" collapsed="false">
      <c r="A254" s="15"/>
      <c r="B254" s="9"/>
      <c r="C254" s="9"/>
      <c r="D254" s="7"/>
      <c r="E254" s="9"/>
    </row>
    <row r="255" customFormat="false" ht="15" hidden="false" customHeight="false" outlineLevel="0" collapsed="false">
      <c r="A255" s="15"/>
      <c r="B255" s="9"/>
      <c r="C255" s="9"/>
      <c r="D255" s="7"/>
      <c r="E255" s="9"/>
    </row>
    <row r="256" customFormat="false" ht="15" hidden="false" customHeight="false" outlineLevel="0" collapsed="false">
      <c r="A256" s="15"/>
      <c r="B256" s="9"/>
      <c r="C256" s="9"/>
      <c r="D256" s="7"/>
      <c r="E256" s="9"/>
    </row>
    <row r="257" customFormat="false" ht="15" hidden="false" customHeight="false" outlineLevel="0" collapsed="false">
      <c r="A257" s="15"/>
      <c r="B257" s="9"/>
      <c r="C257" s="9"/>
      <c r="D257" s="7"/>
      <c r="E257" s="9"/>
    </row>
    <row r="258" customFormat="false" ht="15" hidden="false" customHeight="false" outlineLevel="0" collapsed="false">
      <c r="A258" s="15"/>
      <c r="B258" s="9"/>
      <c r="C258" s="9"/>
      <c r="D258" s="7"/>
      <c r="E258" s="9"/>
    </row>
    <row r="259" customFormat="false" ht="15" hidden="false" customHeight="false" outlineLevel="0" collapsed="false">
      <c r="A259" s="15"/>
      <c r="B259" s="9"/>
      <c r="C259" s="9"/>
      <c r="D259" s="7"/>
      <c r="E259" s="9"/>
    </row>
    <row r="260" customFormat="false" ht="15" hidden="false" customHeight="false" outlineLevel="0" collapsed="false">
      <c r="A260" s="15"/>
      <c r="B260" s="9"/>
      <c r="C260" s="9"/>
      <c r="D260" s="7"/>
      <c r="E260" s="9"/>
    </row>
    <row r="261" customFormat="false" ht="15" hidden="false" customHeight="false" outlineLevel="0" collapsed="false">
      <c r="A261" s="15"/>
      <c r="B261" s="9"/>
      <c r="C261" s="9"/>
      <c r="D261" s="7"/>
      <c r="E261" s="9"/>
    </row>
    <row r="262" customFormat="false" ht="15" hidden="false" customHeight="false" outlineLevel="0" collapsed="false">
      <c r="A262" s="15"/>
      <c r="B262" s="9"/>
      <c r="C262" s="9"/>
      <c r="D262" s="7"/>
      <c r="E262" s="9"/>
    </row>
    <row r="263" customFormat="false" ht="15" hidden="false" customHeight="false" outlineLevel="0" collapsed="false">
      <c r="A263" s="15"/>
      <c r="B263" s="9"/>
      <c r="C263" s="9"/>
      <c r="D263" s="7"/>
      <c r="E263" s="9"/>
    </row>
    <row r="264" customFormat="false" ht="15" hidden="false" customHeight="false" outlineLevel="0" collapsed="false">
      <c r="A264" s="15"/>
      <c r="B264" s="9"/>
      <c r="C264" s="9"/>
      <c r="D264" s="7"/>
      <c r="E264" s="9"/>
    </row>
    <row r="265" customFormat="false" ht="15" hidden="false" customHeight="false" outlineLevel="0" collapsed="false">
      <c r="A265" s="15"/>
      <c r="B265" s="9"/>
      <c r="C265" s="9"/>
      <c r="D265" s="7"/>
      <c r="E265" s="9"/>
    </row>
    <row r="266" customFormat="false" ht="15" hidden="false" customHeight="false" outlineLevel="0" collapsed="false">
      <c r="A266" s="15"/>
      <c r="B266" s="9"/>
      <c r="C266" s="9"/>
      <c r="D266" s="7"/>
      <c r="E266" s="9"/>
    </row>
    <row r="267" customFormat="false" ht="15" hidden="false" customHeight="false" outlineLevel="0" collapsed="false">
      <c r="A267" s="15"/>
      <c r="B267" s="9"/>
      <c r="C267" s="9"/>
      <c r="D267" s="7"/>
      <c r="E267" s="9"/>
    </row>
    <row r="268" customFormat="false" ht="15" hidden="false" customHeight="false" outlineLevel="0" collapsed="false">
      <c r="A268" s="15"/>
      <c r="B268" s="9"/>
      <c r="C268" s="9"/>
      <c r="D268" s="7"/>
      <c r="E268" s="9"/>
    </row>
    <row r="269" customFormat="false" ht="15" hidden="false" customHeight="false" outlineLevel="0" collapsed="false">
      <c r="A269" s="15"/>
      <c r="B269" s="9"/>
      <c r="C269" s="9"/>
      <c r="D269" s="7"/>
      <c r="E269" s="9"/>
    </row>
    <row r="270" customFormat="false" ht="15" hidden="false" customHeight="false" outlineLevel="0" collapsed="false">
      <c r="A270" s="15"/>
      <c r="B270" s="9"/>
      <c r="C270" s="9"/>
      <c r="D270" s="7"/>
      <c r="E270" s="9"/>
    </row>
    <row r="271" customFormat="false" ht="15" hidden="false" customHeight="false" outlineLevel="0" collapsed="false">
      <c r="A271" s="15"/>
      <c r="B271" s="9"/>
      <c r="C271" s="9"/>
      <c r="D271" s="7"/>
      <c r="E271" s="9"/>
    </row>
    <row r="272" customFormat="false" ht="15" hidden="false" customHeight="false" outlineLevel="0" collapsed="false">
      <c r="A272" s="15"/>
      <c r="B272" s="9"/>
      <c r="C272" s="9"/>
      <c r="D272" s="7"/>
      <c r="E272" s="9"/>
    </row>
    <row r="273" customFormat="false" ht="15" hidden="false" customHeight="false" outlineLevel="0" collapsed="false">
      <c r="A273" s="15"/>
      <c r="B273" s="9"/>
      <c r="C273" s="9"/>
      <c r="D273" s="7"/>
      <c r="E273" s="9"/>
    </row>
    <row r="274" customFormat="false" ht="15" hidden="false" customHeight="false" outlineLevel="0" collapsed="false">
      <c r="A274" s="15"/>
      <c r="B274" s="9"/>
      <c r="C274" s="9"/>
      <c r="D274" s="7"/>
      <c r="E274" s="9"/>
    </row>
    <row r="275" customFormat="false" ht="15" hidden="false" customHeight="false" outlineLevel="0" collapsed="false">
      <c r="A275" s="15"/>
      <c r="B275" s="9"/>
      <c r="C275" s="9"/>
      <c r="D275" s="7"/>
      <c r="E275" s="9"/>
    </row>
    <row r="276" customFormat="false" ht="15" hidden="false" customHeight="false" outlineLevel="0" collapsed="false">
      <c r="A276" s="15"/>
      <c r="B276" s="9"/>
      <c r="C276" s="9"/>
      <c r="D276" s="7"/>
      <c r="E276" s="9"/>
    </row>
    <row r="277" customFormat="false" ht="15" hidden="false" customHeight="false" outlineLevel="0" collapsed="false">
      <c r="A277" s="15"/>
      <c r="B277" s="9"/>
      <c r="C277" s="9"/>
      <c r="D277" s="7"/>
      <c r="E277" s="9"/>
    </row>
    <row r="278" customFormat="false" ht="15" hidden="false" customHeight="false" outlineLevel="0" collapsed="false">
      <c r="A278" s="15"/>
      <c r="B278" s="9"/>
      <c r="C278" s="9"/>
      <c r="D278" s="7"/>
      <c r="E278" s="9"/>
    </row>
    <row r="279" customFormat="false" ht="15" hidden="false" customHeight="false" outlineLevel="0" collapsed="false">
      <c r="A279" s="15"/>
      <c r="B279" s="9"/>
      <c r="C279" s="9"/>
      <c r="D279" s="7"/>
      <c r="E279" s="9"/>
    </row>
    <row r="280" customFormat="false" ht="15" hidden="false" customHeight="false" outlineLevel="0" collapsed="false">
      <c r="A280" s="15"/>
      <c r="B280" s="9"/>
      <c r="C280" s="9"/>
      <c r="D280" s="7"/>
      <c r="E280" s="9"/>
    </row>
    <row r="281" customFormat="false" ht="15" hidden="false" customHeight="false" outlineLevel="0" collapsed="false">
      <c r="A281" s="15"/>
      <c r="B281" s="9"/>
      <c r="C281" s="9"/>
      <c r="D281" s="7"/>
      <c r="E281" s="9"/>
    </row>
    <row r="282" customFormat="false" ht="15" hidden="false" customHeight="false" outlineLevel="0" collapsed="false">
      <c r="A282" s="15"/>
      <c r="B282" s="9"/>
      <c r="C282" s="9"/>
      <c r="D282" s="7"/>
      <c r="E282" s="9"/>
    </row>
    <row r="283" customFormat="false" ht="15" hidden="false" customHeight="false" outlineLevel="0" collapsed="false">
      <c r="A283" s="15"/>
      <c r="B283" s="9"/>
      <c r="C283" s="9"/>
      <c r="D283" s="7"/>
      <c r="E283" s="9"/>
    </row>
    <row r="284" customFormat="false" ht="15" hidden="false" customHeight="false" outlineLevel="0" collapsed="false">
      <c r="A284" s="15"/>
      <c r="B284" s="9"/>
      <c r="C284" s="9"/>
      <c r="D284" s="7"/>
      <c r="E284" s="9"/>
    </row>
    <row r="285" customFormat="false" ht="15" hidden="false" customHeight="false" outlineLevel="0" collapsed="false">
      <c r="A285" s="15"/>
      <c r="B285" s="9"/>
      <c r="C285" s="9"/>
      <c r="D285" s="7"/>
      <c r="E285" s="9"/>
    </row>
    <row r="286" customFormat="false" ht="15" hidden="false" customHeight="false" outlineLevel="0" collapsed="false">
      <c r="A286" s="15"/>
      <c r="B286" s="9"/>
      <c r="C286" s="9"/>
      <c r="D286" s="7"/>
      <c r="E286" s="9"/>
    </row>
    <row r="287" customFormat="false" ht="15" hidden="false" customHeight="false" outlineLevel="0" collapsed="false">
      <c r="A287" s="15"/>
      <c r="B287" s="9"/>
      <c r="C287" s="9"/>
      <c r="D287" s="7"/>
      <c r="E287" s="9"/>
    </row>
    <row r="288" customFormat="false" ht="15" hidden="false" customHeight="false" outlineLevel="0" collapsed="false">
      <c r="A288" s="15"/>
      <c r="B288" s="9"/>
      <c r="C288" s="9"/>
      <c r="D288" s="7"/>
      <c r="E288" s="9"/>
    </row>
    <row r="289" customFormat="false" ht="15" hidden="false" customHeight="false" outlineLevel="0" collapsed="false">
      <c r="A289" s="15"/>
      <c r="B289" s="9"/>
      <c r="C289" s="9"/>
      <c r="D289" s="7"/>
      <c r="E289" s="9"/>
    </row>
    <row r="290" customFormat="false" ht="15" hidden="false" customHeight="false" outlineLevel="0" collapsed="false">
      <c r="A290" s="15"/>
      <c r="B290" s="9"/>
      <c r="C290" s="9"/>
      <c r="D290" s="7"/>
      <c r="E290" s="9"/>
    </row>
    <row r="291" customFormat="false" ht="15" hidden="false" customHeight="false" outlineLevel="0" collapsed="false">
      <c r="A291" s="15"/>
      <c r="B291" s="9"/>
      <c r="C291" s="9"/>
      <c r="D291" s="7"/>
      <c r="E291" s="9"/>
    </row>
    <row r="292" customFormat="false" ht="15" hidden="false" customHeight="false" outlineLevel="0" collapsed="false">
      <c r="A292" s="15"/>
      <c r="B292" s="9"/>
      <c r="C292" s="9"/>
      <c r="D292" s="7"/>
      <c r="E292" s="9"/>
    </row>
    <row r="293" customFormat="false" ht="15" hidden="false" customHeight="false" outlineLevel="0" collapsed="false">
      <c r="A293" s="15"/>
      <c r="B293" s="9"/>
      <c r="C293" s="9"/>
      <c r="D293" s="7"/>
      <c r="E293" s="9"/>
    </row>
    <row r="294" customFormat="false" ht="15" hidden="false" customHeight="false" outlineLevel="0" collapsed="false">
      <c r="A294" s="15"/>
      <c r="B294" s="9"/>
      <c r="C294" s="9"/>
      <c r="D294" s="7"/>
      <c r="E294" s="9"/>
    </row>
    <row r="295" customFormat="false" ht="15" hidden="false" customHeight="false" outlineLevel="0" collapsed="false">
      <c r="A295" s="15"/>
      <c r="B295" s="9"/>
      <c r="C295" s="9"/>
      <c r="D295" s="7"/>
      <c r="E295" s="9"/>
    </row>
    <row r="296" customFormat="false" ht="15" hidden="false" customHeight="false" outlineLevel="0" collapsed="false">
      <c r="A296" s="15"/>
      <c r="B296" s="9"/>
      <c r="C296" s="9"/>
      <c r="D296" s="7"/>
      <c r="E296" s="9"/>
    </row>
    <row r="297" customFormat="false" ht="15" hidden="false" customHeight="false" outlineLevel="0" collapsed="false">
      <c r="A297" s="15"/>
      <c r="B297" s="9"/>
      <c r="C297" s="9"/>
      <c r="D297" s="7"/>
      <c r="E297" s="9"/>
    </row>
    <row r="298" customFormat="false" ht="15" hidden="false" customHeight="false" outlineLevel="0" collapsed="false">
      <c r="A298" s="15"/>
      <c r="B298" s="9"/>
      <c r="C298" s="9"/>
      <c r="D298" s="7"/>
      <c r="E298" s="9"/>
    </row>
    <row r="299" customFormat="false" ht="15" hidden="false" customHeight="false" outlineLevel="0" collapsed="false">
      <c r="A299" s="15"/>
      <c r="B299" s="9"/>
      <c r="C299" s="9"/>
      <c r="D299" s="7"/>
      <c r="E299" s="9"/>
    </row>
    <row r="300" customFormat="false" ht="15" hidden="false" customHeight="false" outlineLevel="0" collapsed="false">
      <c r="A300" s="15"/>
      <c r="B300" s="9"/>
      <c r="C300" s="9"/>
      <c r="D300" s="7"/>
      <c r="E300" s="9"/>
    </row>
    <row r="301" customFormat="false" ht="15" hidden="false" customHeight="false" outlineLevel="0" collapsed="false">
      <c r="A301" s="15"/>
      <c r="B301" s="9"/>
      <c r="C301" s="9"/>
      <c r="D301" s="7"/>
      <c r="E301" s="9"/>
    </row>
    <row r="302" customFormat="false" ht="15" hidden="false" customHeight="false" outlineLevel="0" collapsed="false">
      <c r="A302" s="15"/>
      <c r="B302" s="9"/>
      <c r="C302" s="9"/>
      <c r="D302" s="7"/>
      <c r="E302" s="9"/>
    </row>
    <row r="303" customFormat="false" ht="15" hidden="false" customHeight="false" outlineLevel="0" collapsed="false">
      <c r="A303" s="15"/>
      <c r="B303" s="9"/>
      <c r="C303" s="9"/>
      <c r="D303" s="7"/>
      <c r="E303" s="9"/>
    </row>
    <row r="304" customFormat="false" ht="15" hidden="false" customHeight="false" outlineLevel="0" collapsed="false">
      <c r="A304" s="15"/>
      <c r="B304" s="9"/>
      <c r="C304" s="9"/>
      <c r="D304" s="7"/>
      <c r="E304" s="9"/>
    </row>
  </sheetData>
  <dataValidations count="1">
    <dataValidation allowBlank="true" error="Choisissez une catégorie de la liste (onglet Paramètres)." errorStyle="stop" errorTitle="Catégorie inconnue" operator="between" showDropDown="false" showErrorMessage="true" showInputMessage="false" sqref="C5:C304" type="list">
      <formula1>Paramètres!$A$17:$A$36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5"/>
    <col collapsed="false" customWidth="true" hidden="false" outlineLevel="0" max="5" min="5" style="0" width="11"/>
  </cols>
  <sheetData>
    <row r="1" customFormat="false" ht="22.05" hidden="false" customHeight="false" outlineLevel="0" collapsed="false">
      <c r="A1" s="1" t="s">
        <v>59</v>
      </c>
    </row>
    <row r="3" customFormat="false" ht="15" hidden="false" customHeight="false" outlineLevel="0" collapsed="false">
      <c r="A3" s="16" t="n">
        <f aca="false">Paramètres!B4</f>
        <v>46327</v>
      </c>
    </row>
    <row r="5" customFormat="false" ht="15" hidden="false" customHeight="false" outlineLevel="0" collapsed="false">
      <c r="A5" s="17" t="s">
        <v>23</v>
      </c>
      <c r="B5" s="18" t="n">
        <f aca="false">Paramètres!B14</f>
        <v>3450</v>
      </c>
    </row>
    <row r="6" customFormat="false" ht="15" hidden="false" customHeight="false" outlineLevel="0" collapsed="false">
      <c r="A6" s="17" t="s">
        <v>60</v>
      </c>
      <c r="B6" s="18" t="n">
        <f aca="false">SUM(Dépenses!$D$5:$D$304)</f>
        <v>1006.3</v>
      </c>
    </row>
    <row r="7" customFormat="false" ht="15" hidden="false" customHeight="false" outlineLevel="0" collapsed="false">
      <c r="A7" s="17" t="s">
        <v>61</v>
      </c>
      <c r="B7" s="18" t="n">
        <f aca="false">B5-B6</f>
        <v>2443.7</v>
      </c>
    </row>
    <row r="8" customFormat="false" ht="15" hidden="false" customHeight="false" outlineLevel="0" collapsed="false">
      <c r="A8" s="17" t="s">
        <v>62</v>
      </c>
      <c r="B8" s="18" t="n">
        <f aca="false">Paramètres!B5</f>
        <v>150</v>
      </c>
    </row>
    <row r="9" customFormat="false" ht="15" hidden="false" customHeight="false" outlineLevel="0" collapsed="false">
      <c r="A9" s="17" t="s">
        <v>63</v>
      </c>
      <c r="B9" s="19" t="str">
        <f aca="false">IF(B7&gt;=B8,"Oui, bravo !","Pas encore")</f>
        <v>Oui, bravo !</v>
      </c>
    </row>
    <row r="11" customFormat="false" ht="15" hidden="false" customHeight="false" outlineLevel="0" collapsed="false">
      <c r="A11" s="8" t="s">
        <v>51</v>
      </c>
      <c r="B11" s="8" t="s">
        <v>25</v>
      </c>
      <c r="C11" s="8" t="s">
        <v>64</v>
      </c>
      <c r="D11" s="8" t="s">
        <v>65</v>
      </c>
      <c r="E11" s="8" t="s">
        <v>66</v>
      </c>
    </row>
    <row r="12" customFormat="false" ht="15" hidden="false" customHeight="false" outlineLevel="0" collapsed="false">
      <c r="A12" s="20" t="str">
        <f aca="false">IF(Paramètres!A17="","",Paramètres!A17)</f>
        <v>Loyer / crédit immobilier</v>
      </c>
      <c r="B12" s="21" t="n">
        <f aca="false">IF(A12="","",Paramètres!B17)</f>
        <v>900</v>
      </c>
      <c r="C12" s="21" t="n">
        <f aca="false">IF(A12="","",SUMIFS(Dépenses!$D$5:$D$304,Dépenses!$C$5:$C$304,A12))</f>
        <v>900</v>
      </c>
      <c r="D12" s="21" t="n">
        <f aca="false">IF(A12="","",B12-C12)</f>
        <v>0</v>
      </c>
      <c r="E12" s="22" t="n">
        <f aca="false">IF(OR(A12="",N(B12)=0),"",C12/B12)</f>
        <v>1</v>
      </c>
    </row>
    <row r="13" customFormat="false" ht="15" hidden="false" customHeight="false" outlineLevel="0" collapsed="false">
      <c r="A13" s="20" t="str">
        <f aca="false">IF(Paramètres!A18="","",Paramètres!A18)</f>
        <v>Électricité, gaz, eau</v>
      </c>
      <c r="B13" s="21" t="n">
        <f aca="false">IF(A13="","",Paramètres!B18)</f>
        <v>140</v>
      </c>
      <c r="C13" s="21" t="n">
        <f aca="false">IF(A13="","",SUMIFS(Dépenses!$D$5:$D$304,Dépenses!$C$5:$C$304,A13))</f>
        <v>0</v>
      </c>
      <c r="D13" s="21" t="n">
        <f aca="false">IF(A13="","",B13-C13)</f>
        <v>140</v>
      </c>
      <c r="E13" s="22" t="n">
        <f aca="false">IF(OR(A13="",N(B13)=0),"",C13/B13)</f>
        <v>0</v>
      </c>
    </row>
    <row r="14" customFormat="false" ht="15" hidden="false" customHeight="false" outlineLevel="0" collapsed="false">
      <c r="A14" s="20" t="str">
        <f aca="false">IF(Paramètres!A19="","",Paramètres!A19)</f>
        <v>Internet et téléphones</v>
      </c>
      <c r="B14" s="21" t="n">
        <f aca="false">IF(A14="","",Paramètres!B19)</f>
        <v>50</v>
      </c>
      <c r="C14" s="21" t="n">
        <f aca="false">IF(A14="","",SUMIFS(Dépenses!$D$5:$D$304,Dépenses!$C$5:$C$304,A14))</f>
        <v>0</v>
      </c>
      <c r="D14" s="21" t="n">
        <f aca="false">IF(A14="","",B14-C14)</f>
        <v>50</v>
      </c>
      <c r="E14" s="22" t="n">
        <f aca="false">IF(OR(A14="",N(B14)=0),"",C14/B14)</f>
        <v>0</v>
      </c>
    </row>
    <row r="15" customFormat="false" ht="15" hidden="false" customHeight="false" outlineLevel="0" collapsed="false">
      <c r="A15" s="20" t="str">
        <f aca="false">IF(Paramètres!A20="","",Paramètres!A20)</f>
        <v>Assurances</v>
      </c>
      <c r="B15" s="21" t="n">
        <f aca="false">IF(A15="","",Paramètres!B20)</f>
        <v>80</v>
      </c>
      <c r="C15" s="21" t="n">
        <f aca="false">IF(A15="","",SUMIFS(Dépenses!$D$5:$D$304,Dépenses!$C$5:$C$304,A15))</f>
        <v>0</v>
      </c>
      <c r="D15" s="21" t="n">
        <f aca="false">IF(A15="","",B15-C15)</f>
        <v>80</v>
      </c>
      <c r="E15" s="22" t="n">
        <f aca="false">IF(OR(A15="",N(B15)=0),"",C15/B15)</f>
        <v>0</v>
      </c>
    </row>
    <row r="16" customFormat="false" ht="15" hidden="false" customHeight="false" outlineLevel="0" collapsed="false">
      <c r="A16" s="20" t="str">
        <f aca="false">IF(Paramètres!A21="","",Paramètres!A21)</f>
        <v>Crèche / nounou / garde</v>
      </c>
      <c r="B16" s="21" t="n">
        <f aca="false">IF(A16="","",Paramètres!B21)</f>
        <v>250</v>
      </c>
      <c r="C16" s="21" t="n">
        <f aca="false">IF(A16="","",SUMIFS(Dépenses!$D$5:$D$304,Dépenses!$C$5:$C$304,A16))</f>
        <v>0</v>
      </c>
      <c r="D16" s="21" t="n">
        <f aca="false">IF(A16="","",B16-C16)</f>
        <v>250</v>
      </c>
      <c r="E16" s="22" t="n">
        <f aca="false">IF(OR(A16="",N(B16)=0),"",C16/B16)</f>
        <v>0</v>
      </c>
    </row>
    <row r="17" customFormat="false" ht="15" hidden="false" customHeight="false" outlineLevel="0" collapsed="false">
      <c r="A17" s="20" t="str">
        <f aca="false">IF(Paramètres!A22="","",Paramètres!A22)</f>
        <v>Cantine et périscolaire</v>
      </c>
      <c r="B17" s="21" t="n">
        <f aca="false">IF(A17="","",Paramètres!B22)</f>
        <v>80</v>
      </c>
      <c r="C17" s="21" t="n">
        <f aca="false">IF(A17="","",SUMIFS(Dépenses!$D$5:$D$304,Dépenses!$C$5:$C$304,A17))</f>
        <v>0</v>
      </c>
      <c r="D17" s="21" t="n">
        <f aca="false">IF(A17="","",B17-C17)</f>
        <v>80</v>
      </c>
      <c r="E17" s="22" t="n">
        <f aca="false">IF(OR(A17="",N(B17)=0),"",C17/B17)</f>
        <v>0</v>
      </c>
    </row>
    <row r="18" customFormat="false" ht="15" hidden="false" customHeight="false" outlineLevel="0" collapsed="false">
      <c r="A18" s="20" t="str">
        <f aca="false">IF(Paramètres!A23="","",Paramètres!A23)</f>
        <v>Courses alimentaires</v>
      </c>
      <c r="B18" s="21" t="n">
        <f aca="false">IF(A18="","",Paramètres!B23)</f>
        <v>550</v>
      </c>
      <c r="C18" s="21" t="n">
        <f aca="false">IF(A18="","",SUMIFS(Dépenses!$D$5:$D$304,Dépenses!$C$5:$C$304,A18))</f>
        <v>87.4</v>
      </c>
      <c r="D18" s="21" t="n">
        <f aca="false">IF(A18="","",B18-C18)</f>
        <v>462.6</v>
      </c>
      <c r="E18" s="22" t="n">
        <f aca="false">IF(OR(A18="",N(B18)=0),"",C18/B18)</f>
        <v>0.158909090909091</v>
      </c>
    </row>
    <row r="19" customFormat="false" ht="15" hidden="false" customHeight="false" outlineLevel="0" collapsed="false">
      <c r="A19" s="20" t="str">
        <f aca="false">IF(Paramètres!A24="","",Paramètres!A24)</f>
        <v>Couches, hygiène, puériculture</v>
      </c>
      <c r="B19" s="21" t="n">
        <f aca="false">IF(A19="","",Paramètres!B24)</f>
        <v>60</v>
      </c>
      <c r="C19" s="21" t="n">
        <f aca="false">IF(A19="","",SUMIFS(Dépenses!$D$5:$D$304,Dépenses!$C$5:$C$304,A19))</f>
        <v>18.9</v>
      </c>
      <c r="D19" s="21" t="n">
        <f aca="false">IF(A19="","",B19-C19)</f>
        <v>41.1</v>
      </c>
      <c r="E19" s="22" t="n">
        <f aca="false">IF(OR(A19="",N(B19)=0),"",C19/B19)</f>
        <v>0.315</v>
      </c>
    </row>
    <row r="20" customFormat="false" ht="15" hidden="false" customHeight="false" outlineLevel="0" collapsed="false">
      <c r="A20" s="20" t="str">
        <f aca="false">IF(Paramètres!A25="","",Paramètres!A25)</f>
        <v>Vêtements enfants</v>
      </c>
      <c r="B20" s="21" t="n">
        <f aca="false">IF(A20="","",Paramètres!B25)</f>
        <v>50</v>
      </c>
      <c r="C20" s="21" t="n">
        <f aca="false">IF(A20="","",SUMIFS(Dépenses!$D$5:$D$304,Dépenses!$C$5:$C$304,A20))</f>
        <v>0</v>
      </c>
      <c r="D20" s="21" t="n">
        <f aca="false">IF(A20="","",B20-C20)</f>
        <v>50</v>
      </c>
      <c r="E20" s="22" t="n">
        <f aca="false">IF(OR(A20="",N(B20)=0),"",C20/B20)</f>
        <v>0</v>
      </c>
    </row>
    <row r="21" customFormat="false" ht="15" hidden="false" customHeight="false" outlineLevel="0" collapsed="false">
      <c r="A21" s="20" t="str">
        <f aca="false">IF(Paramètres!A26="","",Paramètres!A26)</f>
        <v>Activités et loisirs enfants</v>
      </c>
      <c r="B21" s="21" t="n">
        <f aca="false">IF(A21="","",Paramètres!B26)</f>
        <v>40</v>
      </c>
      <c r="C21" s="21" t="n">
        <f aca="false">IF(A21="","",SUMIFS(Dépenses!$D$5:$D$304,Dépenses!$C$5:$C$304,A21))</f>
        <v>0</v>
      </c>
      <c r="D21" s="21" t="n">
        <f aca="false">IF(A21="","",B21-C21)</f>
        <v>40</v>
      </c>
      <c r="E21" s="22" t="n">
        <f aca="false">IF(OR(A21="",N(B21)=0),"",C21/B21)</f>
        <v>0</v>
      </c>
    </row>
    <row r="22" customFormat="false" ht="15" hidden="false" customHeight="false" outlineLevel="0" collapsed="false">
      <c r="A22" s="20" t="str">
        <f aca="false">IF(Paramètres!A27="","",Paramètres!A27)</f>
        <v>Santé / pharmacie</v>
      </c>
      <c r="B22" s="21" t="n">
        <f aca="false">IF(A22="","",Paramètres!B27)</f>
        <v>30</v>
      </c>
      <c r="C22" s="21" t="n">
        <f aca="false">IF(A22="","",SUMIFS(Dépenses!$D$5:$D$304,Dépenses!$C$5:$C$304,A22))</f>
        <v>0</v>
      </c>
      <c r="D22" s="21" t="n">
        <f aca="false">IF(A22="","",B22-C22)</f>
        <v>30</v>
      </c>
      <c r="E22" s="22" t="n">
        <f aca="false">IF(OR(A22="",N(B22)=0),"",C22/B22)</f>
        <v>0</v>
      </c>
    </row>
    <row r="23" customFormat="false" ht="15" hidden="false" customHeight="false" outlineLevel="0" collapsed="false">
      <c r="A23" s="20" t="str">
        <f aca="false">IF(Paramètres!A28="","",Paramètres!A28)</f>
        <v>Transport / carburant</v>
      </c>
      <c r="B23" s="21" t="n">
        <f aca="false">IF(A23="","",Paramètres!B28)</f>
        <v>150</v>
      </c>
      <c r="C23" s="21" t="n">
        <f aca="false">IF(A23="","",SUMIFS(Dépenses!$D$5:$D$304,Dépenses!$C$5:$C$304,A23))</f>
        <v>0</v>
      </c>
      <c r="D23" s="21" t="n">
        <f aca="false">IF(A23="","",B23-C23)</f>
        <v>150</v>
      </c>
      <c r="E23" s="22" t="n">
        <f aca="false">IF(OR(A23="",N(B23)=0),"",C23/B23)</f>
        <v>0</v>
      </c>
    </row>
    <row r="24" customFormat="false" ht="15" hidden="false" customHeight="false" outlineLevel="0" collapsed="false">
      <c r="A24" s="20" t="str">
        <f aca="false">IF(Paramètres!A29="","",Paramètres!A29)</f>
        <v>Sorties et loisirs adultes</v>
      </c>
      <c r="B24" s="21" t="n">
        <f aca="false">IF(A24="","",Paramètres!B29)</f>
        <v>60</v>
      </c>
      <c r="C24" s="21" t="n">
        <f aca="false">IF(A24="","",SUMIFS(Dépenses!$D$5:$D$304,Dépenses!$C$5:$C$304,A24))</f>
        <v>0</v>
      </c>
      <c r="D24" s="21" t="n">
        <f aca="false">IF(A24="","",B24-C24)</f>
        <v>60</v>
      </c>
      <c r="E24" s="22" t="n">
        <f aca="false">IF(OR(A24="",N(B24)=0),"",C24/B24)</f>
        <v>0</v>
      </c>
    </row>
    <row r="25" customFormat="false" ht="15" hidden="false" customHeight="false" outlineLevel="0" collapsed="false">
      <c r="A25" s="20" t="str">
        <f aca="false">IF(Paramètres!A30="","",Paramètres!A30)</f>
        <v>Cadeaux et anniversaires</v>
      </c>
      <c r="B25" s="21" t="n">
        <f aca="false">IF(A25="","",Paramètres!B30)</f>
        <v>30</v>
      </c>
      <c r="C25" s="21" t="n">
        <f aca="false">IF(A25="","",SUMIFS(Dépenses!$D$5:$D$304,Dépenses!$C$5:$C$304,A25))</f>
        <v>0</v>
      </c>
      <c r="D25" s="21" t="n">
        <f aca="false">IF(A25="","",B25-C25)</f>
        <v>30</v>
      </c>
      <c r="E25" s="22" t="n">
        <f aca="false">IF(OR(A25="",N(B25)=0),"",C25/B25)</f>
        <v>0</v>
      </c>
    </row>
    <row r="26" customFormat="false" ht="15" hidden="false" customHeight="false" outlineLevel="0" collapsed="false">
      <c r="A26" s="20" t="str">
        <f aca="false">IF(Paramètres!A31="","",Paramètres!A31)</f>
        <v>Abonnements (streaming, etc.)</v>
      </c>
      <c r="B26" s="21" t="n">
        <f aca="false">IF(A26="","",Paramètres!B31)</f>
        <v>25</v>
      </c>
      <c r="C26" s="21" t="n">
        <f aca="false">IF(A26="","",SUMIFS(Dépenses!$D$5:$D$304,Dépenses!$C$5:$C$304,A26))</f>
        <v>0</v>
      </c>
      <c r="D26" s="21" t="n">
        <f aca="false">IF(A26="","",B26-C26)</f>
        <v>25</v>
      </c>
      <c r="E26" s="22" t="n">
        <f aca="false">IF(OR(A26="",N(B26)=0),"",C26/B26)</f>
        <v>0</v>
      </c>
    </row>
    <row r="27" customFormat="false" ht="15" hidden="false" customHeight="false" outlineLevel="0" collapsed="false">
      <c r="A27" s="20" t="str">
        <f aca="false">IF(Paramètres!A32="","",Paramètres!A32)</f>
        <v>Imprévus</v>
      </c>
      <c r="B27" s="21" t="n">
        <f aca="false">IF(A27="","",Paramètres!B32)</f>
        <v>50</v>
      </c>
      <c r="C27" s="21" t="n">
        <f aca="false">IF(A27="","",SUMIFS(Dépenses!$D$5:$D$304,Dépenses!$C$5:$C$304,A27))</f>
        <v>0</v>
      </c>
      <c r="D27" s="21" t="n">
        <f aca="false">IF(A27="","",B27-C27)</f>
        <v>50</v>
      </c>
      <c r="E27" s="22" t="n">
        <f aca="false">IF(OR(A27="",N(B27)=0),"",C27/B27)</f>
        <v>0</v>
      </c>
    </row>
    <row r="28" customFormat="false" ht="15" hidden="false" customHeight="false" outlineLevel="0" collapsed="false">
      <c r="A28" s="20" t="str">
        <f aca="false">IF(Paramètres!A33="","",Paramètres!A33)</f>
        <v/>
      </c>
      <c r="B28" s="21" t="str">
        <f aca="false">IF(A28="","",Paramètres!B33)</f>
        <v/>
      </c>
      <c r="C28" s="21" t="str">
        <f aca="false">IF(A28="","",SUMIFS(Dépenses!$D$5:$D$304,Dépenses!$C$5:$C$304,A28))</f>
        <v/>
      </c>
      <c r="D28" s="21" t="str">
        <f aca="false">IF(A28="","",B28-C28)</f>
        <v/>
      </c>
      <c r="E28" s="22" t="str">
        <f aca="false">IF(OR(A28="",N(B28)=0),"",C28/B28)</f>
        <v/>
      </c>
    </row>
    <row r="29" customFormat="false" ht="15" hidden="false" customHeight="false" outlineLevel="0" collapsed="false">
      <c r="A29" s="20" t="str">
        <f aca="false">IF(Paramètres!A34="","",Paramètres!A34)</f>
        <v/>
      </c>
      <c r="B29" s="21" t="str">
        <f aca="false">IF(A29="","",Paramètres!B34)</f>
        <v/>
      </c>
      <c r="C29" s="21" t="str">
        <f aca="false">IF(A29="","",SUMIFS(Dépenses!$D$5:$D$304,Dépenses!$C$5:$C$304,A29))</f>
        <v/>
      </c>
      <c r="D29" s="21" t="str">
        <f aca="false">IF(A29="","",B29-C29)</f>
        <v/>
      </c>
      <c r="E29" s="22" t="str">
        <f aca="false">IF(OR(A29="",N(B29)=0),"",C29/B29)</f>
        <v/>
      </c>
    </row>
    <row r="30" customFormat="false" ht="15" hidden="false" customHeight="false" outlineLevel="0" collapsed="false">
      <c r="A30" s="20" t="str">
        <f aca="false">IF(Paramètres!A35="","",Paramètres!A35)</f>
        <v/>
      </c>
      <c r="B30" s="21" t="str">
        <f aca="false">IF(A30="","",Paramètres!B35)</f>
        <v/>
      </c>
      <c r="C30" s="21" t="str">
        <f aca="false">IF(A30="","",SUMIFS(Dépenses!$D$5:$D$304,Dépenses!$C$5:$C$304,A30))</f>
        <v/>
      </c>
      <c r="D30" s="21" t="str">
        <f aca="false">IF(A30="","",B30-C30)</f>
        <v/>
      </c>
      <c r="E30" s="22" t="str">
        <f aca="false">IF(OR(A30="",N(B30)=0),"",C30/B30)</f>
        <v/>
      </c>
    </row>
    <row r="31" customFormat="false" ht="15" hidden="false" customHeight="false" outlineLevel="0" collapsed="false">
      <c r="A31" s="20" t="str">
        <f aca="false">IF(Paramètres!A36="","",Paramètres!A36)</f>
        <v/>
      </c>
      <c r="B31" s="21" t="str">
        <f aca="false">IF(A31="","",Paramètres!B36)</f>
        <v/>
      </c>
      <c r="C31" s="21" t="str">
        <f aca="false">IF(A31="","",SUMIFS(Dépenses!$D$5:$D$304,Dépenses!$C$5:$C$304,A31))</f>
        <v/>
      </c>
      <c r="D31" s="21" t="str">
        <f aca="false">IF(A31="","",B31-C31)</f>
        <v/>
      </c>
      <c r="E31" s="22" t="str">
        <f aca="false">IF(OR(A31="",N(B31)=0),"",C31/B31)</f>
        <v/>
      </c>
    </row>
    <row r="32" customFormat="false" ht="15" hidden="false" customHeight="false" outlineLevel="0" collapsed="false">
      <c r="A32" s="5" t="s">
        <v>67</v>
      </c>
      <c r="B32" s="10" t="n">
        <f aca="false">SUM(B12:B31)</f>
        <v>2545</v>
      </c>
      <c r="C32" s="10" t="n">
        <f aca="false">SUM(C12:C31)</f>
        <v>1006.3</v>
      </c>
      <c r="D32" s="10" t="n">
        <f aca="false">SUM(D12:D31)</f>
        <v>1538.7</v>
      </c>
      <c r="E32" s="23" t="n">
        <f aca="false">IF(B32=0,"",C32/B32)</f>
        <v>0.395402750491159</v>
      </c>
    </row>
    <row r="33" customFormat="false" ht="15" hidden="false" customHeight="false" outlineLevel="0" collapsed="false">
      <c r="A33" s="11" t="s">
        <v>68</v>
      </c>
      <c r="C33" s="24" t="n">
        <f aca="false">B6-C32</f>
        <v>0</v>
      </c>
    </row>
    <row r="35" customFormat="false" ht="15" hidden="false" customHeight="false" outlineLevel="0" collapsed="false">
      <c r="A35" s="11" t="s">
        <v>69</v>
      </c>
    </row>
  </sheetData>
  <conditionalFormatting sqref="A12:E31">
    <cfRule type="expression" priority="2" aboveAverage="0" equalAverage="0" bottom="0" percent="0" rank="0" text="" dxfId="0">
      <formula>AND($A12&lt;&gt;"",N($E12)&gt;1)</formula>
    </cfRule>
    <cfRule type="expression" priority="3" aboveAverage="0" equalAverage="0" bottom="0" percent="0" rank="0" text="" dxfId="1">
      <formula>AND($A12&lt;&gt;"",N($E12)&gt;=0.8,N($E12)&lt;=1)</formula>
    </cfRule>
  </conditionalFormatting>
  <conditionalFormatting sqref="B7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4" min="3" style="0" width="18"/>
  </cols>
  <sheetData>
    <row r="1" customFormat="false" ht="22.0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8" t="s">
        <v>72</v>
      </c>
      <c r="B4" s="8" t="s">
        <v>73</v>
      </c>
      <c r="C4" s="8" t="s">
        <v>74</v>
      </c>
      <c r="D4" s="8" t="s">
        <v>75</v>
      </c>
    </row>
    <row r="5" customFormat="false" ht="15" hidden="false" customHeight="false" outlineLevel="0" collapsed="false">
      <c r="A5" s="25" t="n">
        <v>1</v>
      </c>
      <c r="B5" s="20" t="s">
        <v>76</v>
      </c>
      <c r="C5" s="9"/>
      <c r="D5" s="7"/>
    </row>
    <row r="6" customFormat="false" ht="15" hidden="false" customHeight="false" outlineLevel="0" collapsed="false">
      <c r="A6" s="25" t="n">
        <v>2</v>
      </c>
      <c r="B6" s="20" t="s">
        <v>77</v>
      </c>
      <c r="C6" s="9"/>
      <c r="D6" s="7"/>
    </row>
    <row r="7" customFormat="false" ht="15" hidden="false" customHeight="false" outlineLevel="0" collapsed="false">
      <c r="A7" s="25" t="n">
        <v>3</v>
      </c>
      <c r="B7" s="20" t="s">
        <v>78</v>
      </c>
      <c r="C7" s="9"/>
      <c r="D7" s="7"/>
    </row>
    <row r="8" customFormat="false" ht="15" hidden="false" customHeight="false" outlineLevel="0" collapsed="false">
      <c r="A8" s="25" t="n">
        <v>4</v>
      </c>
      <c r="B8" s="20" t="s">
        <v>79</v>
      </c>
      <c r="C8" s="9"/>
      <c r="D8" s="7"/>
    </row>
    <row r="9" customFormat="false" ht="15" hidden="false" customHeight="false" outlineLevel="0" collapsed="false">
      <c r="A9" s="25" t="n">
        <v>5</v>
      </c>
      <c r="B9" s="20" t="s">
        <v>80</v>
      </c>
      <c r="C9" s="9"/>
      <c r="D9" s="7"/>
    </row>
    <row r="10" customFormat="false" ht="15" hidden="false" customHeight="false" outlineLevel="0" collapsed="false">
      <c r="A10" s="25" t="n">
        <v>6</v>
      </c>
      <c r="B10" s="20" t="s">
        <v>81</v>
      </c>
      <c r="C10" s="9"/>
      <c r="D10" s="7"/>
    </row>
    <row r="11" customFormat="false" ht="15" hidden="false" customHeight="false" outlineLevel="0" collapsed="false">
      <c r="A11" s="25" t="n">
        <v>7</v>
      </c>
      <c r="B11" s="20" t="s">
        <v>82</v>
      </c>
      <c r="C11" s="9"/>
      <c r="D11" s="7"/>
    </row>
    <row r="12" customFormat="false" ht="15" hidden="false" customHeight="false" outlineLevel="0" collapsed="false">
      <c r="A12" s="25" t="n">
        <v>8</v>
      </c>
      <c r="B12" s="20" t="s">
        <v>83</v>
      </c>
      <c r="C12" s="9"/>
      <c r="D12" s="7"/>
    </row>
    <row r="13" customFormat="false" ht="15" hidden="false" customHeight="false" outlineLevel="0" collapsed="false">
      <c r="A13" s="25" t="n">
        <v>9</v>
      </c>
      <c r="B13" s="20" t="s">
        <v>84</v>
      </c>
      <c r="C13" s="9"/>
      <c r="D13" s="7"/>
    </row>
    <row r="14" customFormat="false" ht="15" hidden="false" customHeight="false" outlineLevel="0" collapsed="false">
      <c r="A14" s="25" t="n">
        <v>10</v>
      </c>
      <c r="B14" s="20" t="s">
        <v>85</v>
      </c>
      <c r="C14" s="9"/>
      <c r="D14" s="7"/>
    </row>
    <row r="15" customFormat="false" ht="15" hidden="false" customHeight="false" outlineLevel="0" collapsed="false">
      <c r="A15" s="25" t="n">
        <v>11</v>
      </c>
      <c r="B15" s="20" t="s">
        <v>86</v>
      </c>
      <c r="C15" s="9"/>
      <c r="D15" s="7"/>
    </row>
    <row r="16" customFormat="false" ht="15" hidden="false" customHeight="false" outlineLevel="0" collapsed="false">
      <c r="A16" s="25" t="n">
        <v>12</v>
      </c>
      <c r="B16" s="20" t="s">
        <v>87</v>
      </c>
      <c r="C16" s="9"/>
      <c r="D16" s="7"/>
    </row>
    <row r="17" customFormat="false" ht="15" hidden="false" customHeight="false" outlineLevel="0" collapsed="false">
      <c r="A17" s="25" t="n">
        <v>13</v>
      </c>
      <c r="B17" s="20" t="s">
        <v>88</v>
      </c>
      <c r="C17" s="9"/>
      <c r="D17" s="7"/>
    </row>
    <row r="18" customFormat="false" ht="15" hidden="false" customHeight="false" outlineLevel="0" collapsed="false">
      <c r="A18" s="25" t="n">
        <v>14</v>
      </c>
      <c r="B18" s="20" t="s">
        <v>80</v>
      </c>
      <c r="C18" s="9"/>
      <c r="D18" s="7"/>
    </row>
    <row r="19" customFormat="false" ht="15" hidden="false" customHeight="false" outlineLevel="0" collapsed="false">
      <c r="A19" s="25" t="n">
        <v>15</v>
      </c>
      <c r="B19" s="20" t="s">
        <v>89</v>
      </c>
      <c r="C19" s="9"/>
      <c r="D19" s="7"/>
    </row>
    <row r="20" customFormat="false" ht="15" hidden="false" customHeight="false" outlineLevel="0" collapsed="false">
      <c r="A20" s="25" t="n">
        <v>16</v>
      </c>
      <c r="B20" s="20" t="s">
        <v>90</v>
      </c>
      <c r="C20" s="9"/>
      <c r="D20" s="7"/>
    </row>
    <row r="21" customFormat="false" ht="15" hidden="false" customHeight="false" outlineLevel="0" collapsed="false">
      <c r="A21" s="25" t="n">
        <v>17</v>
      </c>
      <c r="B21" s="20" t="s">
        <v>91</v>
      </c>
      <c r="C21" s="9"/>
      <c r="D21" s="7"/>
    </row>
    <row r="22" customFormat="false" ht="15" hidden="false" customHeight="false" outlineLevel="0" collapsed="false">
      <c r="A22" s="25" t="n">
        <v>18</v>
      </c>
      <c r="B22" s="20" t="s">
        <v>92</v>
      </c>
      <c r="C22" s="9"/>
      <c r="D22" s="7"/>
    </row>
    <row r="23" customFormat="false" ht="15" hidden="false" customHeight="false" outlineLevel="0" collapsed="false">
      <c r="A23" s="25" t="n">
        <v>19</v>
      </c>
      <c r="B23" s="20" t="s">
        <v>93</v>
      </c>
      <c r="C23" s="9"/>
      <c r="D23" s="7"/>
    </row>
    <row r="24" customFormat="false" ht="15" hidden="false" customHeight="false" outlineLevel="0" collapsed="false">
      <c r="A24" s="25" t="n">
        <v>20</v>
      </c>
      <c r="B24" s="20" t="s">
        <v>80</v>
      </c>
      <c r="C24" s="9"/>
      <c r="D24" s="7"/>
    </row>
    <row r="25" customFormat="false" ht="15" hidden="false" customHeight="false" outlineLevel="0" collapsed="false">
      <c r="A25" s="25" t="n">
        <v>21</v>
      </c>
      <c r="B25" s="20" t="s">
        <v>94</v>
      </c>
      <c r="C25" s="9"/>
      <c r="D25" s="7"/>
    </row>
    <row r="26" customFormat="false" ht="15" hidden="false" customHeight="false" outlineLevel="0" collapsed="false">
      <c r="A26" s="25" t="n">
        <v>22</v>
      </c>
      <c r="B26" s="20" t="s">
        <v>95</v>
      </c>
      <c r="C26" s="9"/>
      <c r="D26" s="7"/>
    </row>
    <row r="27" customFormat="false" ht="15" hidden="false" customHeight="false" outlineLevel="0" collapsed="false">
      <c r="A27" s="25" t="n">
        <v>23</v>
      </c>
      <c r="B27" s="20" t="s">
        <v>96</v>
      </c>
      <c r="C27" s="9"/>
      <c r="D27" s="7"/>
    </row>
    <row r="28" customFormat="false" ht="15" hidden="false" customHeight="false" outlineLevel="0" collapsed="false">
      <c r="A28" s="25" t="n">
        <v>24</v>
      </c>
      <c r="B28" s="20" t="s">
        <v>97</v>
      </c>
      <c r="C28" s="9"/>
      <c r="D28" s="7"/>
    </row>
    <row r="29" customFormat="false" ht="15" hidden="false" customHeight="false" outlineLevel="0" collapsed="false">
      <c r="A29" s="25" t="n">
        <v>25</v>
      </c>
      <c r="B29" s="20" t="s">
        <v>98</v>
      </c>
      <c r="C29" s="9"/>
      <c r="D29" s="7"/>
    </row>
    <row r="30" customFormat="false" ht="15" hidden="false" customHeight="false" outlineLevel="0" collapsed="false">
      <c r="A30" s="25" t="n">
        <v>26</v>
      </c>
      <c r="B30" s="20" t="s">
        <v>99</v>
      </c>
      <c r="C30" s="9"/>
      <c r="D30" s="7"/>
    </row>
    <row r="31" customFormat="false" ht="15" hidden="false" customHeight="false" outlineLevel="0" collapsed="false">
      <c r="A31" s="25" t="n">
        <v>27</v>
      </c>
      <c r="B31" s="20" t="s">
        <v>80</v>
      </c>
      <c r="C31" s="9"/>
      <c r="D31" s="7"/>
    </row>
    <row r="32" customFormat="false" ht="15" hidden="false" customHeight="false" outlineLevel="0" collapsed="false">
      <c r="A32" s="25" t="n">
        <v>28</v>
      </c>
      <c r="B32" s="20" t="s">
        <v>100</v>
      </c>
      <c r="C32" s="9"/>
      <c r="D32" s="7"/>
    </row>
    <row r="33" customFormat="false" ht="15" hidden="false" customHeight="false" outlineLevel="0" collapsed="false">
      <c r="A33" s="25" t="n">
        <v>29</v>
      </c>
      <c r="B33" s="20" t="s">
        <v>101</v>
      </c>
      <c r="C33" s="9"/>
      <c r="D33" s="7"/>
    </row>
    <row r="34" customFormat="false" ht="15" hidden="false" customHeight="false" outlineLevel="0" collapsed="false">
      <c r="A34" s="25" t="n">
        <v>30</v>
      </c>
      <c r="B34" s="20" t="s">
        <v>102</v>
      </c>
      <c r="C34" s="9"/>
      <c r="D34" s="7"/>
    </row>
    <row r="36" customFormat="false" ht="15" hidden="false" customHeight="false" outlineLevel="0" collapsed="false">
      <c r="B36" s="17" t="s">
        <v>103</v>
      </c>
      <c r="D36" s="19" t="str">
        <f aca="false">COUNTIF(C5:C34,"Oui")&amp;" / 30"</f>
        <v>0 / 30</v>
      </c>
    </row>
    <row r="37" customFormat="false" ht="15" hidden="false" customHeight="false" outlineLevel="0" collapsed="false">
      <c r="B37" s="17" t="s">
        <v>104</v>
      </c>
      <c r="D37" s="18" t="n">
        <f aca="false">SUM(D5:D34)</f>
        <v>0</v>
      </c>
    </row>
  </sheetData>
  <conditionalFormatting sqref="A5:D34">
    <cfRule type="expression" priority="2" aboveAverage="0" equalAverage="0" bottom="0" percent="0" rank="0" text="" dxfId="2">
      <formula>$C5="Oui"</formula>
    </cfRule>
  </conditionalFormatting>
  <dataValidations count="1">
    <dataValidation allowBlank="true" errorStyle="stop" operator="between" showDropDown="false" showErrorMessage="false" showInputMessage="false" sqref="C5:C34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2026-10-21T00:04:44Z</dcterms:created>
  <dc:creator>openpyxl</dc:creator>
  <dc:description/>
  <dc:language>en-US</dc:language>
  <cp:lastModifiedBy/>
  <dcterms:modified xsi:type="dcterms:W3CDTF">2026-10-21T00:04:55Z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