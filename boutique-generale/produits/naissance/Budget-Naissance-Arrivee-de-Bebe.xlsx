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 d'emploi" sheetId="1" state="visible" r:id="rId3"/>
    <sheet name="Achats" sheetId="2" state="visible" r:id="rId4"/>
    <sheet name="Synthèse" sheetId="3" state="visible" r:id="rId5"/>
    <sheet name="Budget mensuel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<sst xmlns="http://schemas.openxmlformats.org/spreadsheetml/2006/main" count="151" uniqueCount="87">
  <si>
    <t xml:space="preserve">BUDGET NAISSANCE</t>
  </si>
  <si>
    <t xml:space="preserve">Budget arrivée de bébé</t>
  </si>
  <si>
    <t xml:space="preserve">Tous les achats pour bébé, ce qu'ils coûtent et ce qu'il reste à acheter, plus le budget mensuel après la naissance.</t>
  </si>
  <si>
    <t xml:space="preserve">Comment ça marche</t>
  </si>
  <si>
    <t xml:space="preserve">Onglet « Achats » : la liste est déjà remplie (33 articles). Adaptez les prix prévus, supprimez ou ajoutez des lignes.</t>
  </si>
  <si>
    <t xml:space="preserve">Quand vous achetez : notez le prix payé et choisissez « Neuf », « Occasion » ou « Offert ».</t>
  </si>
  <si>
    <t xml:space="preserve">Onglet « Synthèse » : budget prévu, dépensé, économies et articles restants, par catégorie, tout seul.</t>
  </si>
  <si>
    <t xml:space="preserve">Onglet « Budget mensuel » : estimez les dépenses de chaque mois après la naissance.</t>
  </si>
  <si>
    <t xml:space="preserve">Les prix indiqués sont des exemples indicatifs : remplacez-les par les vôtres. Cases jaunes = à remplir.</t>
  </si>
  <si>
    <t xml:space="preserve">Liste des achats pour bébé</t>
  </si>
  <si>
    <t xml:space="preserve">Prix prévu, prix payé, et d'où vient l'article.</t>
  </si>
  <si>
    <t xml:space="preserve">Article</t>
  </si>
  <si>
    <t xml:space="preserve">Catégorie</t>
  </si>
  <si>
    <t xml:space="preserve">Priorité</t>
  </si>
  <si>
    <t xml:space="preserve">Prix prévu</t>
  </si>
  <si>
    <t xml:space="preserve">Prix payé</t>
  </si>
  <si>
    <t xml:space="preserve">Provenance</t>
  </si>
  <si>
    <t xml:space="preserve">Lit bébé + matelas</t>
  </si>
  <si>
    <t xml:space="preserve">Chambre</t>
  </si>
  <si>
    <t xml:space="preserve">Indispensable</t>
  </si>
  <si>
    <t xml:space="preserve">Gigoteuses (x2)</t>
  </si>
  <si>
    <t xml:space="preserve">Commode / table à langer</t>
  </si>
  <si>
    <t xml:space="preserve">Utile</t>
  </si>
  <si>
    <t xml:space="preserve">Babyphone</t>
  </si>
  <si>
    <t xml:space="preserve">Veilleuse</t>
  </si>
  <si>
    <t xml:space="preserve">Optionnel</t>
  </si>
  <si>
    <t xml:space="preserve">Draps housse (x3)</t>
  </si>
  <si>
    <t xml:space="preserve">Poussette</t>
  </si>
  <si>
    <t xml:space="preserve">Promenade et voiture</t>
  </si>
  <si>
    <t xml:space="preserve">Siège auto (cosy)</t>
  </si>
  <si>
    <t xml:space="preserve">Porte-bébé / écharpe</t>
  </si>
  <si>
    <t xml:space="preserve">Sac à langer</t>
  </si>
  <si>
    <t xml:space="preserve">Biberons (x4)</t>
  </si>
  <si>
    <t xml:space="preserve">Repas</t>
  </si>
  <si>
    <t xml:space="preserve">Chauffe-biberon</t>
  </si>
  <si>
    <t xml:space="preserve">Stérilisateur</t>
  </si>
  <si>
    <t xml:space="preserve">Tire-lait</t>
  </si>
  <si>
    <t xml:space="preserve">Coussin d'allaitement</t>
  </si>
  <si>
    <t xml:space="preserve">Bavoirs (x6)</t>
  </si>
  <si>
    <t xml:space="preserve">Baignoire bébé</t>
  </si>
  <si>
    <t xml:space="preserve">Toilette et soin</t>
  </si>
  <si>
    <t xml:space="preserve">Thermomètre de bain</t>
  </si>
  <si>
    <t xml:space="preserve">Serviettes à capuche (x2)</t>
  </si>
  <si>
    <t xml:space="preserve">Couches (premier mois)</t>
  </si>
  <si>
    <t xml:space="preserve">Liniment / produits de soin</t>
  </si>
  <si>
    <t xml:space="preserve">Bodies (x8)</t>
  </si>
  <si>
    <t xml:space="preserve">Vêtements</t>
  </si>
  <si>
    <t xml:space="preserve">Pyjamas (x6)</t>
  </si>
  <si>
    <t xml:space="preserve">Bonnets et chaussettes</t>
  </si>
  <si>
    <t xml:space="preserve">Combinaison / nid d'ange</t>
  </si>
  <si>
    <t xml:space="preserve">Thermomètre bébé</t>
  </si>
  <si>
    <t xml:space="preserve">Santé</t>
  </si>
  <si>
    <t xml:space="preserve">Mouche-bébé + sérum phy</t>
  </si>
  <si>
    <t xml:space="preserve">Trousse de soins</t>
  </si>
  <si>
    <t xml:space="preserve">Tenues maman maternité</t>
  </si>
  <si>
    <t xml:space="preserve">Valise maternité</t>
  </si>
  <si>
    <t xml:space="preserve">Soutiens-gorge d'allaitement</t>
  </si>
  <si>
    <t xml:space="preserve">Tapis d'éveil</t>
  </si>
  <si>
    <t xml:space="preserve">Éveil et jouets</t>
  </si>
  <si>
    <t xml:space="preserve">Doudou</t>
  </si>
  <si>
    <t xml:space="preserve">Transat</t>
  </si>
  <si>
    <t xml:space="preserve">Synthèse du budget naissance</t>
  </si>
  <si>
    <t xml:space="preserve">Budget prévu</t>
  </si>
  <si>
    <t xml:space="preserve">Déjà dépensé</t>
  </si>
  <si>
    <t xml:space="preserve">Articles restant à acheter</t>
  </si>
  <si>
    <t xml:space="preserve">Économisé (occasion / offert)</t>
  </si>
  <si>
    <t xml:space="preserve">Reste à prévoir (articles non achetés)</t>
  </si>
  <si>
    <t xml:space="preserve">Prévu</t>
  </si>
  <si>
    <t xml:space="preserve">Dépensé</t>
  </si>
  <si>
    <t xml:space="preserve">Écart</t>
  </si>
  <si>
    <t xml:space="preserve">Restants</t>
  </si>
  <si>
    <t xml:space="preserve">Total</t>
  </si>
  <si>
    <t xml:space="preserve">Écart = prévu − payé, sur les articles déjà achetés (positif = vous avez économisé).</t>
  </si>
  <si>
    <t xml:space="preserve">Budget mensuel après la naissance</t>
  </si>
  <si>
    <t xml:space="preserve">Estimez ce que bébé coûtera chaque mois.</t>
  </si>
  <si>
    <t xml:space="preserve">Dépense</t>
  </si>
  <si>
    <t xml:space="preserve">Par mois</t>
  </si>
  <si>
    <t xml:space="preserve">Couches et lingettes</t>
  </si>
  <si>
    <t xml:space="preserve">Lait infantile (si biberon)</t>
  </si>
  <si>
    <t xml:space="preserve">Mode de garde (reste à charge)</t>
  </si>
  <si>
    <t xml:space="preserve">Produits de soin</t>
  </si>
  <si>
    <t xml:space="preserve">Vêtements (renouvellement)</t>
  </si>
  <si>
    <t xml:space="preserve">Pharmacie</t>
  </si>
  <si>
    <t xml:space="preserve">Activités / éveil</t>
  </si>
  <si>
    <t xml:space="preserve">Total par mois</t>
  </si>
  <si>
    <t xml:space="preserve">Soit sur un an</t>
  </si>
  <si>
    <t xml:space="preserve">Pensez à vérifier vos droits (CAF : prime de naissance, PAJE, complément de mode de garde) sur caf.fr.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</si>
</sst>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&quot; €&quot;;\-#,##0.00&quot; €&quot;;\-"/>
    <numFmt numFmtId="166" formatCode="General"/>
    <numFmt numFmtId="167" formatCode="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Arial"/>
      <family val="0"/>
      <charset val="1"/>
    </font>
    <font>
      <b val="true"/>
      <sz val="24"/>
      <color rgb="FF2E7D6B"/>
      <name val="Arial"/>
      <family val="0"/>
      <charset val="1"/>
    </font>
    <font>
      <sz val="11"/>
      <color rgb="FF5E6B70"/>
      <name val="Arial"/>
      <family val="0"/>
      <charset val="1"/>
    </font>
    <font>
      <b val="true"/>
      <sz val="14"/>
      <color rgb="FF2E7D6B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color rgb="FF1F2A2E"/>
      <name val="Arial"/>
      <family val="0"/>
      <charset val="1"/>
    </font>
    <font>
      <i val="true"/>
      <sz val="9"/>
      <color rgb="FF5E6B70"/>
      <name val="Arial"/>
      <family val="0"/>
      <charset val="1"/>
    </font>
    <font>
      <b val="true"/>
      <sz val="20"/>
      <color rgb="FF2E7D6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5E6B70"/>
      <name val="Arial"/>
      <family val="0"/>
      <charset val="1"/>
    </font>
    <font>
      <b val="true"/>
      <sz val="15"/>
      <color rgb="FF1F2A2E"/>
      <name val="Arial"/>
      <family val="0"/>
      <charset val="1"/>
    </font>
    <font>
      <b val="true"/>
      <sz val="15"/>
      <color rgb="FF2E7D6B"/>
      <name val="Arial"/>
      <family val="0"/>
      <charset val="1"/>
    </font>
    <font>
      <b val="true"/>
      <sz val="10"/>
      <color rgb="FF1F2A2E"/>
      <name val="Arial"/>
      <family val="0"/>
      <charset val="1"/>
    </font>
    <font>
      <b val="true"/>
      <sz val="10"/>
      <color rgb="FF2E7D6B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BF6EE"/>
        <bgColor rgb="FFF7F7F5"/>
      </patternFill>
    </fill>
    <fill>
      <patternFill patternType="solid">
        <fgColor rgb="FFE9785A"/>
        <bgColor rgb="FFFF6600"/>
      </patternFill>
    </fill>
    <fill>
      <patternFill patternType="solid">
        <fgColor rgb="FFFFFFFF"/>
        <bgColor rgb="FFFFFBEA"/>
      </patternFill>
    </fill>
    <fill>
      <patternFill patternType="solid">
        <fgColor rgb="FF2E7D6B"/>
        <bgColor rgb="FF008080"/>
      </patternFill>
    </fill>
    <fill>
      <patternFill patternType="solid">
        <fgColor rgb="FFFFF7D6"/>
        <bgColor rgb="FFFFFBEA"/>
      </patternFill>
    </fill>
    <fill>
      <patternFill patternType="solid">
        <fgColor rgb="FFFFFBEA"/>
        <bgColor rgb="FFFBF6EE"/>
      </patternFill>
    </fill>
    <fill>
      <patternFill patternType="solid">
        <fgColor rgb="FFF7F7F5"/>
        <bgColor rgb="FFFBF6EE"/>
      </patternFill>
    </fill>
    <fill>
      <patternFill patternType="solid">
        <fgColor rgb="FFE3F2EE"/>
        <bgColor rgb="FFD4EDDA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CE6DA"/>
      </bottom>
      <diagonal/>
    </border>
    <border diagonalUp="false" diagonalDown="false">
      <left style="thin">
        <color rgb="FFECE6DA"/>
      </left>
      <right style="thin">
        <color rgb="FFECE6DA"/>
      </right>
      <top style="thin">
        <color rgb="FFECE6DA"/>
      </top>
      <bottom/>
      <diagonal/>
    </border>
    <border diagonalUp="false" diagonalDown="false">
      <left style="thin">
        <color rgb="FFECE6DA"/>
      </left>
      <right style="thin">
        <color rgb="FFECE6DA"/>
      </right>
      <top/>
      <bottom style="thin">
        <color rgb="FFECE6D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center" textRotation="0" wrapText="true" indent="1" shrinkToFit="false"/>
      <protection locked="true" hidden="false"/>
    </xf>
    <xf numFmtId="164" fontId="10" fillId="2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8" borderId="2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13" fillId="9" borderId="2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5" fontId="14" fillId="8" borderId="3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6" fontId="15" fillId="9" borderId="3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5" fontId="15" fillId="9" borderId="3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4" fontId="1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7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D4ED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D6"/>
      <rgbColor rgb="FFE3F2EE"/>
      <rgbColor rgb="FF660066"/>
      <rgbColor rgb="FFE9785A"/>
      <rgbColor rgb="FF0066CC"/>
      <rgbColor rgb="FFECE6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7F5"/>
      <rgbColor rgb="FFD4EDDA"/>
      <rgbColor rgb="FFFFFBEA"/>
      <rgbColor rgb="FF99CCFF"/>
      <rgbColor rgb="FFFF99CC"/>
      <rgbColor rgb="FFCC99FF"/>
      <rgbColor rgb="FFFBF6EE"/>
      <rgbColor rgb="FF3366FF"/>
      <rgbColor rgb="FF33CCCC"/>
      <rgbColor rgb="FF99CC00"/>
      <rgbColor rgb="FFFFCC00"/>
      <rgbColor rgb="FFFF9900"/>
      <rgbColor rgb="FFFF6600"/>
      <rgbColor rgb="FF5E6B70"/>
      <rgbColor rgb="FF969696"/>
      <rgbColor rgb="FF003366"/>
      <rgbColor rgb="FF2E7D6B"/>
      <rgbColor rgb="FF003300"/>
      <rgbColor rgb="FF333300"/>
      <rgbColor rgb="FF993300"/>
      <rgbColor rgb="FF993366"/>
      <rgbColor rgb="FF333399"/>
      <rgbColor rgb="FF1F2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6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60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Format="false" ht="21.75" hidden="false" customHeight="true" outlineLevel="0" collapsed="false">
      <c r="A2" s="1"/>
      <c r="B2" s="2" t="s">
        <v>0</v>
      </c>
      <c r="C2" s="2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customFormat="false" ht="39.75" hidden="false" customHeight="true" outlineLevel="0" collapsed="false">
      <c r="A4" s="1"/>
      <c r="B4" s="3" t="s">
        <v>1</v>
      </c>
      <c r="C4" s="3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customFormat="false" ht="39.75" hidden="false" customHeight="true" outlineLevel="0" collapsed="false">
      <c r="A5" s="1"/>
      <c r="B5" s="4" t="s">
        <v>2</v>
      </c>
      <c r="C5" s="4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customFormat="false" ht="15" hidden="false" customHeight="fals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customFormat="false" ht="30" hidden="false" customHeight="true" outlineLevel="0" collapsed="false">
      <c r="A7" s="1"/>
      <c r="B7" s="5" t="s">
        <v>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customFormat="false" ht="39.75" hidden="false" customHeight="true" outlineLevel="0" collapsed="false">
      <c r="A8" s="1"/>
      <c r="B8" s="6" t="n">
        <v>1</v>
      </c>
      <c r="C8" s="7" t="s">
        <v>4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customFormat="false" ht="39.75" hidden="false" customHeight="true" outlineLevel="0" collapsed="false">
      <c r="A9" s="1"/>
      <c r="B9" s="6" t="n">
        <v>2</v>
      </c>
      <c r="C9" s="7" t="s">
        <v>5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customFormat="false" ht="39.75" hidden="false" customHeight="true" outlineLevel="0" collapsed="false">
      <c r="A10" s="1"/>
      <c r="B10" s="6" t="n">
        <v>3</v>
      </c>
      <c r="C10" s="7" t="s">
        <v>6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customFormat="false" ht="39.75" hidden="false" customHeight="true" outlineLevel="0" collapsed="false">
      <c r="A11" s="1"/>
      <c r="B11" s="6" t="n">
        <v>4</v>
      </c>
      <c r="C11" s="7" t="s">
        <v>7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customFormat="false" ht="15" hidden="false" customHeight="fals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customFormat="false" ht="30" hidden="false" customHeight="true" outlineLevel="0" collapsed="false">
      <c r="A13" s="1"/>
      <c r="B13" s="8" t="s">
        <v>8</v>
      </c>
      <c r="C13" s="8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customFormat="false" ht="15" hidden="false" customHeight="fals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customFormat="false" ht="15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</sheetData>
  <mergeCells count="4">
    <mergeCell ref="B2:C2"/>
    <mergeCell ref="B4:C4"/>
    <mergeCell ref="B5:C5"/>
    <mergeCell ref="B13:C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9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3" min="3" style="0" width="22"/>
    <col collapsed="false" customWidth="true" hidden="false" outlineLevel="0" max="4" min="4" style="0" width="15"/>
    <col collapsed="false" customWidth="true" hidden="false" outlineLevel="0" max="6" min="5" style="0" width="14"/>
    <col collapsed="false" customWidth="true" hidden="false" outlineLevel="0" max="7" min="7" style="0" width="13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Format="false" ht="33.75" hidden="false" customHeight="true" outlineLevel="0" collapsed="false">
      <c r="A2" s="1"/>
      <c r="B2" s="9" t="s">
        <v>9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customFormat="false" ht="19.5" hidden="false" customHeight="true" outlineLevel="0" collapsed="false">
      <c r="A3" s="1"/>
      <c r="B3" s="10" t="s">
        <v>10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customFormat="false" ht="25.5" hidden="false" customHeight="true" outlineLevel="0" collapsed="false">
      <c r="A5" s="1"/>
      <c r="B5" s="11" t="s">
        <v>11</v>
      </c>
      <c r="C5" s="12" t="s">
        <v>12</v>
      </c>
      <c r="D5" s="12" t="s">
        <v>13</v>
      </c>
      <c r="E5" s="12" t="s">
        <v>14</v>
      </c>
      <c r="F5" s="12" t="s">
        <v>15</v>
      </c>
      <c r="G5" s="12" t="s">
        <v>16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customFormat="false" ht="21" hidden="false" customHeight="true" outlineLevel="0" collapsed="false">
      <c r="A6" s="1"/>
      <c r="B6" s="13" t="s">
        <v>17</v>
      </c>
      <c r="C6" s="13" t="s">
        <v>18</v>
      </c>
      <c r="D6" s="13" t="s">
        <v>19</v>
      </c>
      <c r="E6" s="14" t="n">
        <v>180</v>
      </c>
      <c r="F6" s="14"/>
      <c r="G6" s="13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customFormat="false" ht="21" hidden="false" customHeight="true" outlineLevel="0" collapsed="false">
      <c r="A7" s="1"/>
      <c r="B7" s="15" t="s">
        <v>20</v>
      </c>
      <c r="C7" s="15" t="s">
        <v>18</v>
      </c>
      <c r="D7" s="15" t="s">
        <v>19</v>
      </c>
      <c r="E7" s="16" t="n">
        <v>50</v>
      </c>
      <c r="F7" s="16"/>
      <c r="G7" s="15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customFormat="false" ht="21" hidden="false" customHeight="true" outlineLevel="0" collapsed="false">
      <c r="A8" s="1"/>
      <c r="B8" s="13" t="s">
        <v>21</v>
      </c>
      <c r="C8" s="13" t="s">
        <v>18</v>
      </c>
      <c r="D8" s="13" t="s">
        <v>22</v>
      </c>
      <c r="E8" s="14" t="n">
        <v>150</v>
      </c>
      <c r="F8" s="14"/>
      <c r="G8" s="13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customFormat="false" ht="21" hidden="false" customHeight="true" outlineLevel="0" collapsed="false">
      <c r="A9" s="1"/>
      <c r="B9" s="15" t="s">
        <v>23</v>
      </c>
      <c r="C9" s="15" t="s">
        <v>18</v>
      </c>
      <c r="D9" s="15" t="s">
        <v>22</v>
      </c>
      <c r="E9" s="16" t="n">
        <v>60</v>
      </c>
      <c r="F9" s="16"/>
      <c r="G9" s="15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customFormat="false" ht="21" hidden="false" customHeight="true" outlineLevel="0" collapsed="false">
      <c r="A10" s="1"/>
      <c r="B10" s="13" t="s">
        <v>24</v>
      </c>
      <c r="C10" s="13" t="s">
        <v>18</v>
      </c>
      <c r="D10" s="13" t="s">
        <v>25</v>
      </c>
      <c r="E10" s="14" t="n">
        <v>20</v>
      </c>
      <c r="F10" s="14"/>
      <c r="G10" s="13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customFormat="false" ht="21" hidden="false" customHeight="true" outlineLevel="0" collapsed="false">
      <c r="A11" s="1"/>
      <c r="B11" s="15" t="s">
        <v>26</v>
      </c>
      <c r="C11" s="15" t="s">
        <v>18</v>
      </c>
      <c r="D11" s="15" t="s">
        <v>19</v>
      </c>
      <c r="E11" s="16" t="n">
        <v>30</v>
      </c>
      <c r="F11" s="16"/>
      <c r="G11" s="15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customFormat="false" ht="21" hidden="false" customHeight="true" outlineLevel="0" collapsed="false">
      <c r="A12" s="1"/>
      <c r="B12" s="13" t="s">
        <v>27</v>
      </c>
      <c r="C12" s="13" t="s">
        <v>28</v>
      </c>
      <c r="D12" s="13" t="s">
        <v>19</v>
      </c>
      <c r="E12" s="14" t="n">
        <v>350</v>
      </c>
      <c r="F12" s="14"/>
      <c r="G12" s="13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customFormat="false" ht="21" hidden="false" customHeight="true" outlineLevel="0" collapsed="false">
      <c r="A13" s="1"/>
      <c r="B13" s="15" t="s">
        <v>29</v>
      </c>
      <c r="C13" s="15" t="s">
        <v>28</v>
      </c>
      <c r="D13" s="15" t="s">
        <v>19</v>
      </c>
      <c r="E13" s="16" t="n">
        <v>150</v>
      </c>
      <c r="F13" s="16"/>
      <c r="G13" s="15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customFormat="false" ht="21" hidden="false" customHeight="true" outlineLevel="0" collapsed="false">
      <c r="A14" s="1"/>
      <c r="B14" s="13" t="s">
        <v>30</v>
      </c>
      <c r="C14" s="13" t="s">
        <v>28</v>
      </c>
      <c r="D14" s="13" t="s">
        <v>22</v>
      </c>
      <c r="E14" s="14" t="n">
        <v>60</v>
      </c>
      <c r="F14" s="14"/>
      <c r="G14" s="13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customFormat="false" ht="21" hidden="false" customHeight="true" outlineLevel="0" collapsed="false">
      <c r="A15" s="1"/>
      <c r="B15" s="15" t="s">
        <v>31</v>
      </c>
      <c r="C15" s="15" t="s">
        <v>28</v>
      </c>
      <c r="D15" s="15" t="s">
        <v>22</v>
      </c>
      <c r="E15" s="16" t="n">
        <v>40</v>
      </c>
      <c r="F15" s="16"/>
      <c r="G15" s="15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customFormat="false" ht="21" hidden="false" customHeight="true" outlineLevel="0" collapsed="false">
      <c r="A16" s="1"/>
      <c r="B16" s="13" t="s">
        <v>32</v>
      </c>
      <c r="C16" s="13" t="s">
        <v>33</v>
      </c>
      <c r="D16" s="13" t="s">
        <v>19</v>
      </c>
      <c r="E16" s="14" t="n">
        <v>40</v>
      </c>
      <c r="F16" s="14"/>
      <c r="G16" s="13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customFormat="false" ht="21" hidden="false" customHeight="true" outlineLevel="0" collapsed="false">
      <c r="A17" s="1"/>
      <c r="B17" s="15" t="s">
        <v>34</v>
      </c>
      <c r="C17" s="15" t="s">
        <v>33</v>
      </c>
      <c r="D17" s="15" t="s">
        <v>25</v>
      </c>
      <c r="E17" s="16" t="n">
        <v>35</v>
      </c>
      <c r="F17" s="16"/>
      <c r="G17" s="15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customFormat="false" ht="21" hidden="false" customHeight="true" outlineLevel="0" collapsed="false">
      <c r="A18" s="1"/>
      <c r="B18" s="13" t="s">
        <v>35</v>
      </c>
      <c r="C18" s="13" t="s">
        <v>33</v>
      </c>
      <c r="D18" s="13" t="s">
        <v>22</v>
      </c>
      <c r="E18" s="14" t="n">
        <v>50</v>
      </c>
      <c r="F18" s="14"/>
      <c r="G18" s="13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customFormat="false" ht="21" hidden="false" customHeight="true" outlineLevel="0" collapsed="false">
      <c r="A19" s="1"/>
      <c r="B19" s="15" t="s">
        <v>36</v>
      </c>
      <c r="C19" s="15" t="s">
        <v>33</v>
      </c>
      <c r="D19" s="15" t="s">
        <v>25</v>
      </c>
      <c r="E19" s="16" t="n">
        <v>80</v>
      </c>
      <c r="F19" s="16"/>
      <c r="G19" s="15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customFormat="false" ht="21" hidden="false" customHeight="true" outlineLevel="0" collapsed="false">
      <c r="A20" s="1"/>
      <c r="B20" s="13" t="s">
        <v>37</v>
      </c>
      <c r="C20" s="13" t="s">
        <v>33</v>
      </c>
      <c r="D20" s="13" t="s">
        <v>22</v>
      </c>
      <c r="E20" s="14" t="n">
        <v>40</v>
      </c>
      <c r="F20" s="14"/>
      <c r="G20" s="13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customFormat="false" ht="21" hidden="false" customHeight="true" outlineLevel="0" collapsed="false">
      <c r="A21" s="1"/>
      <c r="B21" s="15" t="s">
        <v>38</v>
      </c>
      <c r="C21" s="15" t="s">
        <v>33</v>
      </c>
      <c r="D21" s="15" t="s">
        <v>19</v>
      </c>
      <c r="E21" s="16" t="n">
        <v>15</v>
      </c>
      <c r="F21" s="16"/>
      <c r="G21" s="15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customFormat="false" ht="21" hidden="false" customHeight="true" outlineLevel="0" collapsed="false">
      <c r="A22" s="1"/>
      <c r="B22" s="13" t="s">
        <v>39</v>
      </c>
      <c r="C22" s="13" t="s">
        <v>40</v>
      </c>
      <c r="D22" s="13" t="s">
        <v>22</v>
      </c>
      <c r="E22" s="14" t="n">
        <v>30</v>
      </c>
      <c r="F22" s="14"/>
      <c r="G22" s="13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customFormat="false" ht="21" hidden="false" customHeight="true" outlineLevel="0" collapsed="false">
      <c r="A23" s="1"/>
      <c r="B23" s="15" t="s">
        <v>41</v>
      </c>
      <c r="C23" s="15" t="s">
        <v>40</v>
      </c>
      <c r="D23" s="15" t="s">
        <v>25</v>
      </c>
      <c r="E23" s="16" t="n">
        <v>8</v>
      </c>
      <c r="F23" s="16"/>
      <c r="G23" s="15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customFormat="false" ht="21" hidden="false" customHeight="true" outlineLevel="0" collapsed="false">
      <c r="A24" s="1"/>
      <c r="B24" s="13" t="s">
        <v>42</v>
      </c>
      <c r="C24" s="13" t="s">
        <v>40</v>
      </c>
      <c r="D24" s="13" t="s">
        <v>19</v>
      </c>
      <c r="E24" s="14" t="n">
        <v>25</v>
      </c>
      <c r="F24" s="14"/>
      <c r="G24" s="13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customFormat="false" ht="21" hidden="false" customHeight="true" outlineLevel="0" collapsed="false">
      <c r="A25" s="1"/>
      <c r="B25" s="15" t="s">
        <v>43</v>
      </c>
      <c r="C25" s="15" t="s">
        <v>40</v>
      </c>
      <c r="D25" s="15" t="s">
        <v>19</v>
      </c>
      <c r="E25" s="16" t="n">
        <v>60</v>
      </c>
      <c r="F25" s="16"/>
      <c r="G25" s="15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customFormat="false" ht="21" hidden="false" customHeight="true" outlineLevel="0" collapsed="false">
      <c r="A26" s="1"/>
      <c r="B26" s="13" t="s">
        <v>44</v>
      </c>
      <c r="C26" s="13" t="s">
        <v>40</v>
      </c>
      <c r="D26" s="13" t="s">
        <v>19</v>
      </c>
      <c r="E26" s="14" t="n">
        <v>25</v>
      </c>
      <c r="F26" s="14"/>
      <c r="G26" s="13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customFormat="false" ht="21" hidden="false" customHeight="true" outlineLevel="0" collapsed="false">
      <c r="A27" s="1"/>
      <c r="B27" s="15" t="s">
        <v>45</v>
      </c>
      <c r="C27" s="15" t="s">
        <v>46</v>
      </c>
      <c r="D27" s="15" t="s">
        <v>19</v>
      </c>
      <c r="E27" s="16" t="n">
        <v>40</v>
      </c>
      <c r="F27" s="16"/>
      <c r="G27" s="15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customFormat="false" ht="21" hidden="false" customHeight="true" outlineLevel="0" collapsed="false">
      <c r="A28" s="1"/>
      <c r="B28" s="13" t="s">
        <v>47</v>
      </c>
      <c r="C28" s="13" t="s">
        <v>46</v>
      </c>
      <c r="D28" s="13" t="s">
        <v>19</v>
      </c>
      <c r="E28" s="14" t="n">
        <v>45</v>
      </c>
      <c r="F28" s="14"/>
      <c r="G28" s="13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customFormat="false" ht="21" hidden="false" customHeight="true" outlineLevel="0" collapsed="false">
      <c r="A29" s="1"/>
      <c r="B29" s="15" t="s">
        <v>48</v>
      </c>
      <c r="C29" s="15" t="s">
        <v>46</v>
      </c>
      <c r="D29" s="15" t="s">
        <v>19</v>
      </c>
      <c r="E29" s="16" t="n">
        <v>15</v>
      </c>
      <c r="F29" s="16"/>
      <c r="G29" s="15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customFormat="false" ht="21" hidden="false" customHeight="true" outlineLevel="0" collapsed="false">
      <c r="A30" s="1"/>
      <c r="B30" s="13" t="s">
        <v>49</v>
      </c>
      <c r="C30" s="13" t="s">
        <v>46</v>
      </c>
      <c r="D30" s="13" t="s">
        <v>22</v>
      </c>
      <c r="E30" s="14" t="n">
        <v>40</v>
      </c>
      <c r="F30" s="14"/>
      <c r="G30" s="13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customFormat="false" ht="21" hidden="false" customHeight="true" outlineLevel="0" collapsed="false">
      <c r="A31" s="1"/>
      <c r="B31" s="15" t="s">
        <v>50</v>
      </c>
      <c r="C31" s="15" t="s">
        <v>51</v>
      </c>
      <c r="D31" s="15" t="s">
        <v>19</v>
      </c>
      <c r="E31" s="16" t="n">
        <v>20</v>
      </c>
      <c r="F31" s="16"/>
      <c r="G31" s="15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customFormat="false" ht="21" hidden="false" customHeight="true" outlineLevel="0" collapsed="false">
      <c r="A32" s="1"/>
      <c r="B32" s="13" t="s">
        <v>52</v>
      </c>
      <c r="C32" s="13" t="s">
        <v>51</v>
      </c>
      <c r="D32" s="13" t="s">
        <v>19</v>
      </c>
      <c r="E32" s="14" t="n">
        <v>15</v>
      </c>
      <c r="F32" s="14"/>
      <c r="G32" s="13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customFormat="false" ht="21" hidden="false" customHeight="true" outlineLevel="0" collapsed="false">
      <c r="A33" s="1"/>
      <c r="B33" s="15" t="s">
        <v>53</v>
      </c>
      <c r="C33" s="15" t="s">
        <v>51</v>
      </c>
      <c r="D33" s="15" t="s">
        <v>22</v>
      </c>
      <c r="E33" s="16" t="n">
        <v>20</v>
      </c>
      <c r="F33" s="16"/>
      <c r="G33" s="15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customFormat="false" ht="21" hidden="false" customHeight="true" outlineLevel="0" collapsed="false">
      <c r="A34" s="1"/>
      <c r="B34" s="13" t="s">
        <v>54</v>
      </c>
      <c r="C34" s="13" t="s">
        <v>55</v>
      </c>
      <c r="D34" s="13" t="s">
        <v>19</v>
      </c>
      <c r="E34" s="14" t="n">
        <v>60</v>
      </c>
      <c r="F34" s="14"/>
      <c r="G34" s="13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customFormat="false" ht="21" hidden="false" customHeight="true" outlineLevel="0" collapsed="false">
      <c r="A35" s="1"/>
      <c r="B35" s="15" t="s">
        <v>56</v>
      </c>
      <c r="C35" s="15" t="s">
        <v>55</v>
      </c>
      <c r="D35" s="15" t="s">
        <v>22</v>
      </c>
      <c r="E35" s="16" t="n">
        <v>40</v>
      </c>
      <c r="F35" s="16"/>
      <c r="G35" s="15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customFormat="false" ht="21" hidden="false" customHeight="true" outlineLevel="0" collapsed="false">
      <c r="A36" s="1"/>
      <c r="B36" s="13" t="s">
        <v>57</v>
      </c>
      <c r="C36" s="13" t="s">
        <v>58</v>
      </c>
      <c r="D36" s="13" t="s">
        <v>22</v>
      </c>
      <c r="E36" s="14" t="n">
        <v>50</v>
      </c>
      <c r="F36" s="14"/>
      <c r="G36" s="13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customFormat="false" ht="21" hidden="false" customHeight="true" outlineLevel="0" collapsed="false">
      <c r="A37" s="1"/>
      <c r="B37" s="15" t="s">
        <v>59</v>
      </c>
      <c r="C37" s="15" t="s">
        <v>58</v>
      </c>
      <c r="D37" s="15" t="s">
        <v>19</v>
      </c>
      <c r="E37" s="16" t="n">
        <v>15</v>
      </c>
      <c r="F37" s="16"/>
      <c r="G37" s="15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customFormat="false" ht="21" hidden="false" customHeight="true" outlineLevel="0" collapsed="false">
      <c r="A38" s="1"/>
      <c r="B38" s="13" t="s">
        <v>60</v>
      </c>
      <c r="C38" s="13" t="s">
        <v>58</v>
      </c>
      <c r="D38" s="13" t="s">
        <v>25</v>
      </c>
      <c r="E38" s="14" t="n">
        <v>60</v>
      </c>
      <c r="F38" s="14"/>
      <c r="G38" s="13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customFormat="false" ht="21" hidden="false" customHeight="true" outlineLevel="0" collapsed="false">
      <c r="A39" s="1"/>
      <c r="B39" s="15"/>
      <c r="C39" s="15"/>
      <c r="D39" s="15"/>
      <c r="E39" s="16"/>
      <c r="F39" s="16"/>
      <c r="G39" s="15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customFormat="false" ht="21" hidden="false" customHeight="true" outlineLevel="0" collapsed="false">
      <c r="A40" s="1"/>
      <c r="B40" s="13"/>
      <c r="C40" s="13"/>
      <c r="D40" s="13"/>
      <c r="E40" s="14"/>
      <c r="F40" s="14"/>
      <c r="G40" s="13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customFormat="false" ht="21" hidden="false" customHeight="true" outlineLevel="0" collapsed="false">
      <c r="A41" s="1"/>
      <c r="B41" s="15"/>
      <c r="C41" s="15"/>
      <c r="D41" s="15"/>
      <c r="E41" s="16"/>
      <c r="F41" s="16"/>
      <c r="G41" s="15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customFormat="false" ht="21" hidden="false" customHeight="true" outlineLevel="0" collapsed="false">
      <c r="A42" s="1"/>
      <c r="B42" s="13"/>
      <c r="C42" s="13"/>
      <c r="D42" s="13"/>
      <c r="E42" s="14"/>
      <c r="F42" s="14"/>
      <c r="G42" s="13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customFormat="false" ht="21" hidden="false" customHeight="true" outlineLevel="0" collapsed="false">
      <c r="A43" s="1"/>
      <c r="B43" s="15"/>
      <c r="C43" s="15"/>
      <c r="D43" s="15"/>
      <c r="E43" s="16"/>
      <c r="F43" s="16"/>
      <c r="G43" s="15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customFormat="false" ht="21" hidden="false" customHeight="true" outlineLevel="0" collapsed="false">
      <c r="A44" s="1"/>
      <c r="B44" s="13"/>
      <c r="C44" s="13"/>
      <c r="D44" s="13"/>
      <c r="E44" s="14"/>
      <c r="F44" s="14"/>
      <c r="G44" s="13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customFormat="false" ht="21" hidden="false" customHeight="true" outlineLevel="0" collapsed="false">
      <c r="A45" s="1"/>
      <c r="B45" s="15"/>
      <c r="C45" s="15"/>
      <c r="D45" s="15"/>
      <c r="E45" s="16"/>
      <c r="F45" s="16"/>
      <c r="G45" s="15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customFormat="false" ht="21" hidden="false" customHeight="true" outlineLevel="0" collapsed="false">
      <c r="A46" s="1"/>
      <c r="B46" s="13"/>
      <c r="C46" s="13"/>
      <c r="D46" s="13"/>
      <c r="E46" s="14"/>
      <c r="F46" s="14"/>
      <c r="G46" s="13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customFormat="false" ht="21" hidden="false" customHeight="true" outlineLevel="0" collapsed="false">
      <c r="A47" s="1"/>
      <c r="B47" s="15"/>
      <c r="C47" s="15"/>
      <c r="D47" s="15"/>
      <c r="E47" s="16"/>
      <c r="F47" s="16"/>
      <c r="G47" s="15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customFormat="false" ht="21" hidden="false" customHeight="true" outlineLevel="0" collapsed="false">
      <c r="A48" s="1"/>
      <c r="B48" s="13"/>
      <c r="C48" s="13"/>
      <c r="D48" s="13"/>
      <c r="E48" s="14"/>
      <c r="F48" s="14"/>
      <c r="G48" s="13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customFormat="false" ht="21" hidden="false" customHeight="true" outlineLevel="0" collapsed="false">
      <c r="A49" s="1"/>
      <c r="B49" s="15"/>
      <c r="C49" s="15"/>
      <c r="D49" s="15"/>
      <c r="E49" s="16"/>
      <c r="F49" s="16"/>
      <c r="G49" s="15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customFormat="false" ht="21" hidden="false" customHeight="true" outlineLevel="0" collapsed="false">
      <c r="A50" s="1"/>
      <c r="B50" s="13"/>
      <c r="C50" s="13"/>
      <c r="D50" s="13"/>
      <c r="E50" s="14"/>
      <c r="F50" s="14"/>
      <c r="G50" s="13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customFormat="false" ht="21" hidden="false" customHeight="true" outlineLevel="0" collapsed="false">
      <c r="A51" s="1"/>
      <c r="B51" s="15"/>
      <c r="C51" s="15"/>
      <c r="D51" s="15"/>
      <c r="E51" s="16"/>
      <c r="F51" s="16"/>
      <c r="G51" s="15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customFormat="false" ht="21" hidden="false" customHeight="true" outlineLevel="0" collapsed="false">
      <c r="A52" s="1"/>
      <c r="B52" s="13"/>
      <c r="C52" s="13"/>
      <c r="D52" s="13"/>
      <c r="E52" s="14"/>
      <c r="F52" s="14"/>
      <c r="G52" s="13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customFormat="false" ht="21" hidden="false" customHeight="true" outlineLevel="0" collapsed="false">
      <c r="A53" s="1"/>
      <c r="B53" s="15"/>
      <c r="C53" s="15"/>
      <c r="D53" s="15"/>
      <c r="E53" s="16"/>
      <c r="F53" s="16"/>
      <c r="G53" s="15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customFormat="false" ht="21" hidden="false" customHeight="true" outlineLevel="0" collapsed="false">
      <c r="A54" s="1"/>
      <c r="B54" s="13"/>
      <c r="C54" s="13"/>
      <c r="D54" s="13"/>
      <c r="E54" s="14"/>
      <c r="F54" s="14"/>
      <c r="G54" s="13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customFormat="false" ht="21" hidden="false" customHeight="true" outlineLevel="0" collapsed="false">
      <c r="A55" s="1"/>
      <c r="B55" s="15"/>
      <c r="C55" s="15"/>
      <c r="D55" s="15"/>
      <c r="E55" s="16"/>
      <c r="F55" s="16"/>
      <c r="G55" s="15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customFormat="false" ht="21" hidden="false" customHeight="true" outlineLevel="0" collapsed="false">
      <c r="A56" s="1"/>
      <c r="B56" s="13"/>
      <c r="C56" s="13"/>
      <c r="D56" s="13"/>
      <c r="E56" s="14"/>
      <c r="F56" s="14"/>
      <c r="G56" s="13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customFormat="false" ht="21" hidden="false" customHeight="true" outlineLevel="0" collapsed="false">
      <c r="A57" s="1"/>
      <c r="B57" s="15"/>
      <c r="C57" s="15"/>
      <c r="D57" s="15"/>
      <c r="E57" s="16"/>
      <c r="F57" s="16"/>
      <c r="G57" s="15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customFormat="false" ht="21" hidden="false" customHeight="true" outlineLevel="0" collapsed="false">
      <c r="A58" s="1"/>
      <c r="B58" s="13"/>
      <c r="C58" s="13"/>
      <c r="D58" s="13"/>
      <c r="E58" s="14"/>
      <c r="F58" s="14"/>
      <c r="G58" s="13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customFormat="false" ht="21" hidden="false" customHeight="true" outlineLevel="0" collapsed="false">
      <c r="A59" s="1"/>
      <c r="B59" s="15"/>
      <c r="C59" s="15"/>
      <c r="D59" s="15"/>
      <c r="E59" s="16"/>
      <c r="F59" s="16"/>
      <c r="G59" s="15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customFormat="false" ht="21" hidden="false" customHeight="true" outlineLevel="0" collapsed="false">
      <c r="A60" s="1"/>
      <c r="B60" s="13"/>
      <c r="C60" s="13"/>
      <c r="D60" s="13"/>
      <c r="E60" s="14"/>
      <c r="F60" s="14"/>
      <c r="G60" s="13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customFormat="false" ht="21" hidden="false" customHeight="true" outlineLevel="0" collapsed="false">
      <c r="A61" s="1"/>
      <c r="B61" s="15"/>
      <c r="C61" s="15"/>
      <c r="D61" s="15"/>
      <c r="E61" s="16"/>
      <c r="F61" s="16"/>
      <c r="G61" s="15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customFormat="false" ht="21" hidden="false" customHeight="true" outlineLevel="0" collapsed="false">
      <c r="A62" s="1"/>
      <c r="B62" s="13"/>
      <c r="C62" s="13"/>
      <c r="D62" s="13"/>
      <c r="E62" s="14"/>
      <c r="F62" s="14"/>
      <c r="G62" s="13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customFormat="false" ht="21" hidden="false" customHeight="true" outlineLevel="0" collapsed="false">
      <c r="A63" s="1"/>
      <c r="B63" s="15"/>
      <c r="C63" s="15"/>
      <c r="D63" s="15"/>
      <c r="E63" s="16"/>
      <c r="F63" s="16"/>
      <c r="G63" s="15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customFormat="false" ht="21" hidden="false" customHeight="true" outlineLevel="0" collapsed="false">
      <c r="A64" s="1"/>
      <c r="B64" s="13"/>
      <c r="C64" s="13"/>
      <c r="D64" s="13"/>
      <c r="E64" s="14"/>
      <c r="F64" s="14"/>
      <c r="G64" s="13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customFormat="false" ht="21" hidden="false" customHeight="true" outlineLevel="0" collapsed="false">
      <c r="A65" s="1"/>
      <c r="B65" s="15"/>
      <c r="C65" s="15"/>
      <c r="D65" s="15"/>
      <c r="E65" s="16"/>
      <c r="F65" s="16"/>
      <c r="G65" s="15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customFormat="false" ht="21" hidden="false" customHeight="true" outlineLevel="0" collapsed="false">
      <c r="A66" s="1"/>
      <c r="B66" s="13"/>
      <c r="C66" s="13"/>
      <c r="D66" s="13"/>
      <c r="E66" s="14"/>
      <c r="F66" s="14"/>
      <c r="G66" s="13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customFormat="false" ht="21" hidden="false" customHeight="true" outlineLevel="0" collapsed="false">
      <c r="A67" s="1"/>
      <c r="B67" s="15"/>
      <c r="C67" s="15"/>
      <c r="D67" s="15"/>
      <c r="E67" s="16"/>
      <c r="F67" s="16"/>
      <c r="G67" s="15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customFormat="false" ht="21" hidden="false" customHeight="true" outlineLevel="0" collapsed="false">
      <c r="A68" s="1"/>
      <c r="B68" s="13"/>
      <c r="C68" s="13"/>
      <c r="D68" s="13"/>
      <c r="E68" s="14"/>
      <c r="F68" s="14"/>
      <c r="G68" s="13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customFormat="false" ht="21" hidden="false" customHeight="true" outlineLevel="0" collapsed="false">
      <c r="A69" s="1"/>
      <c r="B69" s="15"/>
      <c r="C69" s="15"/>
      <c r="D69" s="15"/>
      <c r="E69" s="16"/>
      <c r="F69" s="16"/>
      <c r="G69" s="15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customFormat="false" ht="21" hidden="false" customHeight="true" outlineLevel="0" collapsed="false">
      <c r="A70" s="1"/>
      <c r="B70" s="13"/>
      <c r="C70" s="13"/>
      <c r="D70" s="13"/>
      <c r="E70" s="14"/>
      <c r="F70" s="14"/>
      <c r="G70" s="13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customFormat="false" ht="21" hidden="false" customHeight="true" outlineLevel="0" collapsed="false">
      <c r="A71" s="1"/>
      <c r="B71" s="15"/>
      <c r="C71" s="15"/>
      <c r="D71" s="15"/>
      <c r="E71" s="16"/>
      <c r="F71" s="16"/>
      <c r="G71" s="15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customFormat="false" ht="21" hidden="false" customHeight="true" outlineLevel="0" collapsed="false">
      <c r="A72" s="1"/>
      <c r="B72" s="13"/>
      <c r="C72" s="13"/>
      <c r="D72" s="13"/>
      <c r="E72" s="14"/>
      <c r="F72" s="14"/>
      <c r="G72" s="13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customFormat="false" ht="21" hidden="false" customHeight="true" outlineLevel="0" collapsed="false">
      <c r="A73" s="1"/>
      <c r="B73" s="15"/>
      <c r="C73" s="15"/>
      <c r="D73" s="15"/>
      <c r="E73" s="16"/>
      <c r="F73" s="16"/>
      <c r="G73" s="15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customFormat="false" ht="21" hidden="false" customHeight="true" outlineLevel="0" collapsed="false">
      <c r="A74" s="1"/>
      <c r="B74" s="13"/>
      <c r="C74" s="13"/>
      <c r="D74" s="13"/>
      <c r="E74" s="14"/>
      <c r="F74" s="14"/>
      <c r="G74" s="13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customFormat="false" ht="21" hidden="false" customHeight="true" outlineLevel="0" collapsed="false">
      <c r="A75" s="1"/>
      <c r="B75" s="15"/>
      <c r="C75" s="15"/>
      <c r="D75" s="15"/>
      <c r="E75" s="16"/>
      <c r="F75" s="16"/>
      <c r="G75" s="15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customFormat="false" ht="21" hidden="false" customHeight="true" outlineLevel="0" collapsed="false">
      <c r="A76" s="1"/>
      <c r="B76" s="13"/>
      <c r="C76" s="13"/>
      <c r="D76" s="13"/>
      <c r="E76" s="14"/>
      <c r="F76" s="14"/>
      <c r="G76" s="13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customFormat="false" ht="21" hidden="false" customHeight="true" outlineLevel="0" collapsed="false">
      <c r="A77" s="1"/>
      <c r="B77" s="15"/>
      <c r="C77" s="15"/>
      <c r="D77" s="15"/>
      <c r="E77" s="16"/>
      <c r="F77" s="16"/>
      <c r="G77" s="15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customFormat="false" ht="21" hidden="false" customHeight="true" outlineLevel="0" collapsed="false">
      <c r="A78" s="1"/>
      <c r="B78" s="13"/>
      <c r="C78" s="13"/>
      <c r="D78" s="13"/>
      <c r="E78" s="14"/>
      <c r="F78" s="14"/>
      <c r="G78" s="13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customFormat="false" ht="21" hidden="false" customHeight="true" outlineLevel="0" collapsed="false">
      <c r="A79" s="1"/>
      <c r="B79" s="15"/>
      <c r="C79" s="15"/>
      <c r="D79" s="15"/>
      <c r="E79" s="16"/>
      <c r="F79" s="16"/>
      <c r="G79" s="15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customFormat="false" ht="21" hidden="false" customHeight="true" outlineLevel="0" collapsed="false">
      <c r="A80" s="1"/>
      <c r="B80" s="13"/>
      <c r="C80" s="13"/>
      <c r="D80" s="13"/>
      <c r="E80" s="14"/>
      <c r="F80" s="14"/>
      <c r="G80" s="13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customFormat="false" ht="21" hidden="false" customHeight="true" outlineLevel="0" collapsed="false">
      <c r="A81" s="1"/>
      <c r="B81" s="15"/>
      <c r="C81" s="15"/>
      <c r="D81" s="15"/>
      <c r="E81" s="16"/>
      <c r="F81" s="16"/>
      <c r="G81" s="15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customFormat="false" ht="21" hidden="false" customHeight="true" outlineLevel="0" collapsed="false">
      <c r="A82" s="1"/>
      <c r="B82" s="13"/>
      <c r="C82" s="13"/>
      <c r="D82" s="13"/>
      <c r="E82" s="14"/>
      <c r="F82" s="14"/>
      <c r="G82" s="13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customFormat="false" ht="21" hidden="false" customHeight="true" outlineLevel="0" collapsed="false">
      <c r="A83" s="1"/>
      <c r="B83" s="15"/>
      <c r="C83" s="15"/>
      <c r="D83" s="15"/>
      <c r="E83" s="16"/>
      <c r="F83" s="16"/>
      <c r="G83" s="15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customFormat="false" ht="21" hidden="false" customHeight="true" outlineLevel="0" collapsed="false">
      <c r="A84" s="1"/>
      <c r="B84" s="13"/>
      <c r="C84" s="13"/>
      <c r="D84" s="13"/>
      <c r="E84" s="14"/>
      <c r="F84" s="14"/>
      <c r="G84" s="13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customFormat="false" ht="21" hidden="false" customHeight="true" outlineLevel="0" collapsed="false">
      <c r="A85" s="1"/>
      <c r="B85" s="15"/>
      <c r="C85" s="15"/>
      <c r="D85" s="15"/>
      <c r="E85" s="16"/>
      <c r="F85" s="16"/>
      <c r="G85" s="15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customFormat="false" ht="15" hidden="false" customHeight="fals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customFormat="false" ht="15" hidden="false" customHeight="fals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customFormat="false" ht="15" hidden="false" customHeight="fals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customFormat="false" ht="15" hidden="false" customHeight="fals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customFormat="false" ht="15" hidden="false" customHeight="fals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customFormat="false" ht="15" hidden="false" customHeight="fals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customFormat="false" ht="15" hidden="false" customHeight="fals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</sheetData>
  <conditionalFormatting sqref="B6:G85">
    <cfRule type="expression" priority="2" aboveAverage="0" equalAverage="0" bottom="0" percent="0" rank="0" text="" dxfId="0">
      <formula>OR($G6="Neuf",$G6="Occasion",$G6="Offert")</formula>
    </cfRule>
  </conditionalFormatting>
  <dataValidations count="3">
    <dataValidation allowBlank="true" errorStyle="stop" operator="between" showDropDown="false" showErrorMessage="false" showInputMessage="false" sqref="C6:C85" type="list">
      <formula1>"Chambre,Promenade et voiture,Repas,Toilette et soin,Vêtements,Santé,Valise maternité,Éveil et jouets"</formula1>
      <formula2>0</formula2>
    </dataValidation>
    <dataValidation allowBlank="true" errorStyle="stop" operator="between" showDropDown="false" showErrorMessage="false" showInputMessage="false" sqref="D6:D85" type="list">
      <formula1>"Indispensable,Utile,Optionnel"</formula1>
      <formula2>0</formula2>
    </dataValidation>
    <dataValidation allowBlank="true" errorStyle="stop" operator="between" showDropDown="false" showErrorMessage="false" showInputMessage="false" sqref="G6:G85" type="list">
      <formula1>"Neuf,Occasion,Offert"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5" min="3" style="0" width="15"/>
    <col collapsed="false" customWidth="true" hidden="false" outlineLevel="0" max="6" min="6" style="0" width="14"/>
    <col collapsed="false" customWidth="true" hidden="false" outlineLevel="0" max="7" min="7" style="0" width="3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Format="false" ht="33.75" hidden="false" customHeight="true" outlineLevel="0" collapsed="false">
      <c r="A2" s="1"/>
      <c r="B2" s="9" t="s">
        <v>61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customFormat="false" ht="19.5" hidden="false" customHeight="true" outlineLevel="0" collapsed="false">
      <c r="A4" s="1"/>
      <c r="B4" s="17" t="s">
        <v>62</v>
      </c>
      <c r="C4" s="17" t="s">
        <v>63</v>
      </c>
      <c r="D4" s="17"/>
      <c r="E4" s="18" t="s">
        <v>64</v>
      </c>
      <c r="F4" s="18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customFormat="false" ht="27.75" hidden="false" customHeight="true" outlineLevel="0" collapsed="false">
      <c r="A5" s="1"/>
      <c r="B5" s="19" t="n">
        <f aca="false">SUM(Achats!$E$6:$E$85)</f>
        <v>1918</v>
      </c>
      <c r="C5" s="19" t="n">
        <f aca="false">SUM(Achats!$F$6:$F$85)</f>
        <v>0</v>
      </c>
      <c r="D5" s="19"/>
      <c r="E5" s="20" t="n">
        <f aca="false">COUNTA(Achats!$B$6:$B$85)-COUNTIF(Achats!$G$6:$G$85,"Neuf")-COUNTIF(Achats!$G$6:$G$85,"Occasion")-COUNTIF(Achats!$G$6:$G$85,"Offert")</f>
        <v>33</v>
      </c>
      <c r="F5" s="20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customFormat="false" ht="7.5" hidden="false" customHeight="tru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customFormat="false" ht="19.5" hidden="false" customHeight="true" outlineLevel="0" collapsed="false">
      <c r="A7" s="1"/>
      <c r="B7" s="18" t="s">
        <v>65</v>
      </c>
      <c r="C7" s="17" t="s">
        <v>66</v>
      </c>
      <c r="D7" s="17"/>
      <c r="E7" s="17"/>
      <c r="F7" s="17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customFormat="false" ht="27.75" hidden="false" customHeight="true" outlineLevel="0" collapsed="false">
      <c r="A8" s="1"/>
      <c r="B8" s="21" t="n">
        <f aca="false">SUMIFS(Achats!$E$6:$E$85,Achats!$G$6:$G$85,"Occasion")-SUMIFS(Achats!$F$6:$F$85,Achats!$G$6:$G$85,"Occasion")+SUMIFS(Achats!$E$6:$E$85,Achats!$G$6:$G$85,"Offert")</f>
        <v>0</v>
      </c>
      <c r="C8" s="19" t="n">
        <f aca="false">SUM(Achats!$E$6:$E$85)-SUMIFS(Achats!$E$6:$E$85,Achats!$G$6:$G$85,"&lt;&gt;")</f>
        <v>1918</v>
      </c>
      <c r="D8" s="19"/>
      <c r="E8" s="19"/>
      <c r="F8" s="19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customFormat="false" ht="12" hidden="false" customHeight="tru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customFormat="false" ht="25.5" hidden="false" customHeight="true" outlineLevel="0" collapsed="false">
      <c r="A10" s="1"/>
      <c r="B10" s="11" t="s">
        <v>12</v>
      </c>
      <c r="C10" s="12" t="s">
        <v>67</v>
      </c>
      <c r="D10" s="12" t="s">
        <v>68</v>
      </c>
      <c r="E10" s="12" t="s">
        <v>69</v>
      </c>
      <c r="F10" s="12" t="s">
        <v>70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customFormat="false" ht="21.75" hidden="false" customHeight="true" outlineLevel="0" collapsed="false">
      <c r="A11" s="1"/>
      <c r="B11" s="22" t="s">
        <v>18</v>
      </c>
      <c r="C11" s="23" t="n">
        <f aca="false">SUMIFS(Achats!$E$6:$E$85,Achats!$C$6:$C$85,B11)</f>
        <v>490</v>
      </c>
      <c r="D11" s="23" t="n">
        <f aca="false">SUMIFS(Achats!$F$6:$F$85,Achats!$C$6:$C$85,B11)</f>
        <v>0</v>
      </c>
      <c r="E11" s="23" t="n">
        <f aca="false">SUMIFS(Achats!$E$6:$E$85,Achats!$C$6:$C$85,B11,Achats!$G$6:$G$85,"&lt;&gt;")-D11</f>
        <v>0</v>
      </c>
      <c r="F11" s="24" t="n">
        <f aca="false">COUNTIFS(Achats!$C$6:$C$85,B11,Achats!$B$6:$B$85,"&lt;&gt;")-COUNTIFS(Achats!$C$6:$C$85,B11,Achats!$G$6:$G$85,"&lt;&gt;")</f>
        <v>6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customFormat="false" ht="21.75" hidden="false" customHeight="true" outlineLevel="0" collapsed="false">
      <c r="A12" s="1"/>
      <c r="B12" s="22" t="s">
        <v>28</v>
      </c>
      <c r="C12" s="23" t="n">
        <f aca="false">SUMIFS(Achats!$E$6:$E$85,Achats!$C$6:$C$85,B12)</f>
        <v>600</v>
      </c>
      <c r="D12" s="23" t="n">
        <f aca="false">SUMIFS(Achats!$F$6:$F$85,Achats!$C$6:$C$85,B12)</f>
        <v>0</v>
      </c>
      <c r="E12" s="23" t="n">
        <f aca="false">SUMIFS(Achats!$E$6:$E$85,Achats!$C$6:$C$85,B12,Achats!$G$6:$G$85,"&lt;&gt;")-D12</f>
        <v>0</v>
      </c>
      <c r="F12" s="24" t="n">
        <f aca="false">COUNTIFS(Achats!$C$6:$C$85,B12,Achats!$B$6:$B$85,"&lt;&gt;")-COUNTIFS(Achats!$C$6:$C$85,B12,Achats!$G$6:$G$85,"&lt;&gt;")</f>
        <v>4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customFormat="false" ht="21.75" hidden="false" customHeight="true" outlineLevel="0" collapsed="false">
      <c r="A13" s="1"/>
      <c r="B13" s="22" t="s">
        <v>33</v>
      </c>
      <c r="C13" s="23" t="n">
        <f aca="false">SUMIFS(Achats!$E$6:$E$85,Achats!$C$6:$C$85,B13)</f>
        <v>260</v>
      </c>
      <c r="D13" s="23" t="n">
        <f aca="false">SUMIFS(Achats!$F$6:$F$85,Achats!$C$6:$C$85,B13)</f>
        <v>0</v>
      </c>
      <c r="E13" s="23" t="n">
        <f aca="false">SUMIFS(Achats!$E$6:$E$85,Achats!$C$6:$C$85,B13,Achats!$G$6:$G$85,"&lt;&gt;")-D13</f>
        <v>0</v>
      </c>
      <c r="F13" s="24" t="n">
        <f aca="false">COUNTIFS(Achats!$C$6:$C$85,B13,Achats!$B$6:$B$85,"&lt;&gt;")-COUNTIFS(Achats!$C$6:$C$85,B13,Achats!$G$6:$G$85,"&lt;&gt;")</f>
        <v>6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customFormat="false" ht="21.75" hidden="false" customHeight="true" outlineLevel="0" collapsed="false">
      <c r="A14" s="1"/>
      <c r="B14" s="22" t="s">
        <v>40</v>
      </c>
      <c r="C14" s="23" t="n">
        <f aca="false">SUMIFS(Achats!$E$6:$E$85,Achats!$C$6:$C$85,B14)</f>
        <v>148</v>
      </c>
      <c r="D14" s="23" t="n">
        <f aca="false">SUMIFS(Achats!$F$6:$F$85,Achats!$C$6:$C$85,B14)</f>
        <v>0</v>
      </c>
      <c r="E14" s="23" t="n">
        <f aca="false">SUMIFS(Achats!$E$6:$E$85,Achats!$C$6:$C$85,B14,Achats!$G$6:$G$85,"&lt;&gt;")-D14</f>
        <v>0</v>
      </c>
      <c r="F14" s="24" t="n">
        <f aca="false">COUNTIFS(Achats!$C$6:$C$85,B14,Achats!$B$6:$B$85,"&lt;&gt;")-COUNTIFS(Achats!$C$6:$C$85,B14,Achats!$G$6:$G$85,"&lt;&gt;")</f>
        <v>5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customFormat="false" ht="21.75" hidden="false" customHeight="true" outlineLevel="0" collapsed="false">
      <c r="A15" s="1"/>
      <c r="B15" s="22" t="s">
        <v>46</v>
      </c>
      <c r="C15" s="23" t="n">
        <f aca="false">SUMIFS(Achats!$E$6:$E$85,Achats!$C$6:$C$85,B15)</f>
        <v>140</v>
      </c>
      <c r="D15" s="23" t="n">
        <f aca="false">SUMIFS(Achats!$F$6:$F$85,Achats!$C$6:$C$85,B15)</f>
        <v>0</v>
      </c>
      <c r="E15" s="23" t="n">
        <f aca="false">SUMIFS(Achats!$E$6:$E$85,Achats!$C$6:$C$85,B15,Achats!$G$6:$G$85,"&lt;&gt;")-D15</f>
        <v>0</v>
      </c>
      <c r="F15" s="24" t="n">
        <f aca="false">COUNTIFS(Achats!$C$6:$C$85,B15,Achats!$B$6:$B$85,"&lt;&gt;")-COUNTIFS(Achats!$C$6:$C$85,B15,Achats!$G$6:$G$85,"&lt;&gt;")</f>
        <v>4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customFormat="false" ht="21.75" hidden="false" customHeight="true" outlineLevel="0" collapsed="false">
      <c r="A16" s="1"/>
      <c r="B16" s="22" t="s">
        <v>51</v>
      </c>
      <c r="C16" s="23" t="n">
        <f aca="false">SUMIFS(Achats!$E$6:$E$85,Achats!$C$6:$C$85,B16)</f>
        <v>55</v>
      </c>
      <c r="D16" s="23" t="n">
        <f aca="false">SUMIFS(Achats!$F$6:$F$85,Achats!$C$6:$C$85,B16)</f>
        <v>0</v>
      </c>
      <c r="E16" s="23" t="n">
        <f aca="false">SUMIFS(Achats!$E$6:$E$85,Achats!$C$6:$C$85,B16,Achats!$G$6:$G$85,"&lt;&gt;")-D16</f>
        <v>0</v>
      </c>
      <c r="F16" s="24" t="n">
        <f aca="false">COUNTIFS(Achats!$C$6:$C$85,B16,Achats!$B$6:$B$85,"&lt;&gt;")-COUNTIFS(Achats!$C$6:$C$85,B16,Achats!$G$6:$G$85,"&lt;&gt;")</f>
        <v>3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customFormat="false" ht="21.75" hidden="false" customHeight="true" outlineLevel="0" collapsed="false">
      <c r="A17" s="1"/>
      <c r="B17" s="22" t="s">
        <v>55</v>
      </c>
      <c r="C17" s="23" t="n">
        <f aca="false">SUMIFS(Achats!$E$6:$E$85,Achats!$C$6:$C$85,B17)</f>
        <v>100</v>
      </c>
      <c r="D17" s="23" t="n">
        <f aca="false">SUMIFS(Achats!$F$6:$F$85,Achats!$C$6:$C$85,B17)</f>
        <v>0</v>
      </c>
      <c r="E17" s="23" t="n">
        <f aca="false">SUMIFS(Achats!$E$6:$E$85,Achats!$C$6:$C$85,B17,Achats!$G$6:$G$85,"&lt;&gt;")-D17</f>
        <v>0</v>
      </c>
      <c r="F17" s="24" t="n">
        <f aca="false">COUNTIFS(Achats!$C$6:$C$85,B17,Achats!$B$6:$B$85,"&lt;&gt;")-COUNTIFS(Achats!$C$6:$C$85,B17,Achats!$G$6:$G$85,"&lt;&gt;")</f>
        <v>2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customFormat="false" ht="21.75" hidden="false" customHeight="true" outlineLevel="0" collapsed="false">
      <c r="A18" s="1"/>
      <c r="B18" s="22" t="s">
        <v>58</v>
      </c>
      <c r="C18" s="23" t="n">
        <f aca="false">SUMIFS(Achats!$E$6:$E$85,Achats!$C$6:$C$85,B18)</f>
        <v>125</v>
      </c>
      <c r="D18" s="23" t="n">
        <f aca="false">SUMIFS(Achats!$F$6:$F$85,Achats!$C$6:$C$85,B18)</f>
        <v>0</v>
      </c>
      <c r="E18" s="23" t="n">
        <f aca="false">SUMIFS(Achats!$E$6:$E$85,Achats!$C$6:$C$85,B18,Achats!$G$6:$G$85,"&lt;&gt;")-D18</f>
        <v>0</v>
      </c>
      <c r="F18" s="24" t="n">
        <f aca="false">COUNTIFS(Achats!$C$6:$C$85,B18,Achats!$B$6:$B$85,"&lt;&gt;")-COUNTIFS(Achats!$C$6:$C$85,B18,Achats!$G$6:$G$85,"&lt;&gt;")</f>
        <v>3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customFormat="false" ht="15" hidden="false" customHeight="false" outlineLevel="0" collapsed="false">
      <c r="A19" s="1"/>
      <c r="B19" s="25" t="s">
        <v>71</v>
      </c>
      <c r="C19" s="26" t="n">
        <f aca="false">SUM(C11:C18)</f>
        <v>1918</v>
      </c>
      <c r="D19" s="26" t="n">
        <f aca="false">SUM(D11:D18)</f>
        <v>0</v>
      </c>
      <c r="E19" s="26" t="n">
        <f aca="false">SUM(E11:E18)</f>
        <v>0</v>
      </c>
      <c r="F19" s="27" t="n">
        <f aca="false">SUM(F11:F18)</f>
        <v>33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customFormat="false" ht="15" hidden="false" customHeight="false" outlineLevel="0" collapsed="false">
      <c r="A21" s="1"/>
      <c r="B21" s="28" t="s">
        <v>72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</sheetData>
  <mergeCells count="6">
    <mergeCell ref="C4:D4"/>
    <mergeCell ref="E4:F4"/>
    <mergeCell ref="C5:D5"/>
    <mergeCell ref="E5:F5"/>
    <mergeCell ref="C7:F7"/>
    <mergeCell ref="C8:F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16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Format="false" ht="33.75" hidden="false" customHeight="true" outlineLevel="0" collapsed="false">
      <c r="A2" s="1"/>
      <c r="B2" s="9" t="s">
        <v>73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customFormat="false" ht="19.5" hidden="false" customHeight="true" outlineLevel="0" collapsed="false">
      <c r="A3" s="1"/>
      <c r="B3" s="10" t="s">
        <v>74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customFormat="false" ht="25.5" hidden="false" customHeight="true" outlineLevel="0" collapsed="false">
      <c r="A5" s="1"/>
      <c r="B5" s="11" t="s">
        <v>75</v>
      </c>
      <c r="C5" s="12" t="s">
        <v>76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customFormat="false" ht="21.75" hidden="false" customHeight="true" outlineLevel="0" collapsed="false">
      <c r="A6" s="1"/>
      <c r="B6" s="13" t="s">
        <v>77</v>
      </c>
      <c r="C6" s="14" t="n">
        <v>50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customFormat="false" ht="21.75" hidden="false" customHeight="true" outlineLevel="0" collapsed="false">
      <c r="A7" s="1"/>
      <c r="B7" s="13" t="s">
        <v>78</v>
      </c>
      <c r="C7" s="14" t="n">
        <v>60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customFormat="false" ht="21.75" hidden="false" customHeight="true" outlineLevel="0" collapsed="false">
      <c r="A8" s="1"/>
      <c r="B8" s="13" t="s">
        <v>79</v>
      </c>
      <c r="C8" s="14" t="n">
        <v>300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customFormat="false" ht="21.75" hidden="false" customHeight="true" outlineLevel="0" collapsed="false">
      <c r="A9" s="1"/>
      <c r="B9" s="13" t="s">
        <v>80</v>
      </c>
      <c r="C9" s="14" t="n">
        <v>15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customFormat="false" ht="21.75" hidden="false" customHeight="true" outlineLevel="0" collapsed="false">
      <c r="A10" s="1"/>
      <c r="B10" s="13" t="s">
        <v>81</v>
      </c>
      <c r="C10" s="14" t="n">
        <v>30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customFormat="false" ht="21.75" hidden="false" customHeight="true" outlineLevel="0" collapsed="false">
      <c r="A11" s="1"/>
      <c r="B11" s="13" t="s">
        <v>82</v>
      </c>
      <c r="C11" s="14" t="n">
        <v>15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customFormat="false" ht="21.75" hidden="false" customHeight="true" outlineLevel="0" collapsed="false">
      <c r="A12" s="1"/>
      <c r="B12" s="13" t="s">
        <v>83</v>
      </c>
      <c r="C12" s="14" t="n">
        <v>10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customFormat="false" ht="21.75" hidden="false" customHeight="true" outlineLevel="0" collapsed="false">
      <c r="A13" s="1"/>
      <c r="B13" s="13"/>
      <c r="C13" s="14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customFormat="false" ht="21.75" hidden="false" customHeight="true" outlineLevel="0" collapsed="false">
      <c r="A14" s="1"/>
      <c r="B14" s="13"/>
      <c r="C14" s="14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customFormat="false" ht="15" hidden="false" customHeight="false" outlineLevel="0" collapsed="false">
      <c r="A15" s="1"/>
      <c r="B15" s="25" t="s">
        <v>84</v>
      </c>
      <c r="C15" s="29" t="n">
        <f aca="false">SUM(C6:C14)</f>
        <v>480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customFormat="false" ht="15" hidden="false" customHeight="false" outlineLevel="0" collapsed="false">
      <c r="A16" s="1"/>
      <c r="B16" s="25" t="s">
        <v>85</v>
      </c>
      <c r="C16" s="29" t="n">
        <f aca="false">C15*12</f>
        <v>5760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customFormat="false" ht="15" hidden="false" customHeight="false" outlineLevel="0" collapsed="false">
      <c r="A18" s="1"/>
      <c r="B18" s="28" t="s">
        <v>86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2026-10-21T01:07:08Z</dcterms:created>
  <dc:creator>openpyxl</dc:creator>
  <dc:description/>
  <dc:language>en-US</dc:language>
  <cp:lastModifiedBy/>
  <dcterms:modified xsi:type="dcterms:W3CDTF">2026-10-21T01:07:09Z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